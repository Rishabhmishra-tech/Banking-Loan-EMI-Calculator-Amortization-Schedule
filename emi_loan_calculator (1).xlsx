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_rels/pivotTable8.xml.rels" ContentType="application/vnd.openxmlformats-package.relationships+xml"/>
  <Override PartName="/xl/pivotTables/_rels/pivotTable7.xml.rels" ContentType="application/vnd.openxmlformats-package.relationships+xml"/>
  <Override PartName="/xl/pivotTables/_rels/pivotTable6.xml.rels" ContentType="application/vnd.openxmlformats-package.relationships+xml"/>
  <Override PartName="/xl/pivotTables/_rels/pivotTable5.xml.rels" ContentType="application/vnd.openxmlformats-package.relationships+xml"/>
  <Override PartName="/xl/pivotTables/_rels/pivotTable4.xml.rels" ContentType="application/vnd.openxmlformats-package.relationships+xml"/>
  <Override PartName="/xl/pivotTables/_rels/pivotTable3.xml.rels" ContentType="application/vnd.openxmlformats-package.relationships+xml"/>
  <Override PartName="/xl/pivotTables/_rels/pivotTable2.xml.rels" ContentType="application/vnd.openxmlformats-package.relationships+xml"/>
  <Override PartName="/xl/pivotTables/_rels/pivotTable1.xml.rels" ContentType="application/vnd.openxmlformats-package.relationships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EMI Calculator" sheetId="1" state="visible" r:id="rId3"/>
    <sheet name="Pivot Table" sheetId="2" state="visible" r:id="rId4"/>
    <sheet name="Cleaned_Data" sheetId="3" state="visible" r:id="rId5"/>
    <sheet name="DashBoard" sheetId="4" state="visible" r:id="rId6"/>
    <sheet name="Amortization Schedule" sheetId="5" state="visible" r:id="rId7"/>
  </sheets>
  <definedNames>
    <definedName function="false" hidden="true" localSheetId="4" name="_xlnm._FilterDatabase" vbProcedure="false">'Amortization Schedule'!$A$4:$G$4</definedName>
    <definedName function="false" hidden="false" name="EMI_LoanAmount" vbProcedure="false">'EMI Calculator'!$C$35</definedName>
    <definedName function="false" hidden="false" name="EMI_MonthlyRate" vbProcedure="false">'EMI Calculator'!$C$41</definedName>
    <definedName function="false" hidden="false" name="EMI_NPer" vbProcedure="false">'EMI Calculator'!$C$42</definedName>
    <definedName function="false" hidden="false" name="EMI_Payment" vbProcedure="false">'EMI Calculator'!$C$45</definedName>
    <definedName function="false" hidden="false" name="EMI_StartDate" vbProcedure="false">'EMI Calculator'!$C$38</definedName>
    <definedName function="false" hidden="false" name="Slicer_Branch" vbProcedure="false">#N/A</definedName>
    <definedName function="false" hidden="false" name="Slicer_Loan_Type" vbProcedure="false">#N/A</definedName>
    <definedName function="false" hidden="false" name="Slicer_Tenure_Years" vbProcedure="false">#N/A</definedName>
  </definedNames>
  <calcPr iterateCount="100" refMode="A1" iterate="false" iterateDelta="0.0001"/>
  <pivotCaches>
    <pivotCache cacheId="1" r:id="rId9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<sst xmlns="http://schemas.openxmlformats.org/spreadsheetml/2006/main" count="606" uniqueCount="268">
  <si>
    <t xml:space="preserve">helper</t>
  </si>
  <si>
    <t xml:space="preserve">Banking Loan EMI Calculator</t>
  </si>
  <si>
    <t xml:space="preserve">Step 1: look up a customer's existing loans. Step 2: load one, or enter your own numbers below.</t>
  </si>
  <si>
    <t xml:space="preserve">STEP 1 — FIND LOANS BY CUSTOMER NAME</t>
  </si>
  <si>
    <t xml:space="preserve">Customer Name</t>
  </si>
  <si>
    <t xml:space="preserve">Loan ID</t>
  </si>
  <si>
    <t xml:space="preserve">Loan Type</t>
  </si>
  <si>
    <t xml:space="preserve">Loan Amount</t>
  </si>
  <si>
    <t xml:space="preserve">Interest Rate</t>
  </si>
  <si>
    <t xml:space="preserve">Tenure (Yrs)</t>
  </si>
  <si>
    <t xml:space="preserve">Branch</t>
  </si>
  <si>
    <t xml:space="preserve">STEP 2 — LOAD A LOAN (optional)</t>
  </si>
  <si>
    <t xml:space="preserve">Loan ID to Load</t>
  </si>
  <si>
    <t xml:space="preserve">Type any Loan ID shown in Step 1 (e.g. one from the table above) to pull that loan's numbers into the calculator below. Leave blank to enter your own figures manually.</t>
  </si>
  <si>
    <t xml:space="preserve">STEP 3 — LOAN INPUTS (used only when Loan ID to Load is blank)</t>
  </si>
  <si>
    <t xml:space="preserve">Manual Loan Amount ($)</t>
  </si>
  <si>
    <t xml:space="preserve">Manual Annual Interest Rate (%)</t>
  </si>
  <si>
    <t xml:space="preserve">Manual Loan Tenure (Years)</t>
  </si>
  <si>
    <t xml:space="preserve">Manual Loan Start Date</t>
  </si>
  <si>
    <t xml:space="preserve">EFFECTIVE INPUTS (what the calculator actually uses)</t>
  </si>
  <si>
    <t xml:space="preserve">Annual Interest Rate</t>
  </si>
  <si>
    <t xml:space="preserve">Loan Tenure (Years)</t>
  </si>
  <si>
    <t xml:space="preserve">Loan Start Date</t>
  </si>
  <si>
    <t xml:space="preserve">CALCULATION DETAILS</t>
  </si>
  <si>
    <t xml:space="preserve">Monthly Interest Rate</t>
  </si>
  <si>
    <t xml:space="preserve">Number of Monthly Payments</t>
  </si>
  <si>
    <t xml:space="preserve">RESULTS</t>
  </si>
  <si>
    <t xml:space="preserve">Monthly EMI</t>
  </si>
  <si>
    <t xml:space="preserve">Total Payment</t>
  </si>
  <si>
    <t xml:space="preserve">Total Interest Payable</t>
  </si>
  <si>
    <t xml:space="preserve">Loan End Date</t>
  </si>
  <si>
    <t xml:space="preserve">Note: the Amortization Schedule sheet recalculates automatically from the Effective Inputs above — whichever loan is loaded, or your manual entries if none is.</t>
  </si>
  <si>
    <t xml:space="preserve">Loan_Type</t>
  </si>
  <si>
    <t xml:space="preserve">Sum of Loan_Amount</t>
  </si>
  <si>
    <t xml:space="preserve">Count of Loan_ID</t>
  </si>
  <si>
    <t xml:space="preserve">Car</t>
  </si>
  <si>
    <t xml:space="preserve">Delhi</t>
  </si>
  <si>
    <t xml:space="preserve">Education</t>
  </si>
  <si>
    <t xml:space="preserve">Jaipur</t>
  </si>
  <si>
    <t xml:space="preserve">Sum of EMI</t>
  </si>
  <si>
    <t xml:space="preserve">Sum of Total_Interest</t>
  </si>
  <si>
    <t xml:space="preserve">Home</t>
  </si>
  <si>
    <t xml:space="preserve">Kolkata</t>
  </si>
  <si>
    <t xml:space="preserve">Personal</t>
  </si>
  <si>
    <t xml:space="preserve">Lucknow</t>
  </si>
  <si>
    <t xml:space="preserve">Total Result</t>
  </si>
  <si>
    <t xml:space="preserve">Mumbai</t>
  </si>
  <si>
    <t xml:space="preserve">Pune</t>
  </si>
  <si>
    <t xml:space="preserve">Data</t>
  </si>
  <si>
    <t xml:space="preserve">Sum of Tenure_Years</t>
  </si>
  <si>
    <t xml:space="preserve">Sum of Total_Payment</t>
  </si>
  <si>
    <t xml:space="preserve">Loan_ID</t>
  </si>
  <si>
    <t xml:space="preserve">Customer_Name</t>
  </si>
  <si>
    <t xml:space="preserve">Loan_Amount</t>
  </si>
  <si>
    <t xml:space="preserve">Interest_Rate</t>
  </si>
  <si>
    <t xml:space="preserve">Tenure_Years</t>
  </si>
  <si>
    <t xml:space="preserve">Application_Date</t>
  </si>
  <si>
    <t xml:space="preserve">EMI</t>
  </si>
  <si>
    <t xml:space="preserve">Total_Interest</t>
  </si>
  <si>
    <t xml:space="preserve">Total_Payment</t>
  </si>
  <si>
    <t xml:space="preserve">L001</t>
  </si>
  <si>
    <t xml:space="preserve">Pooja Das</t>
  </si>
  <si>
    <t xml:space="preserve">2025-05-09</t>
  </si>
  <si>
    <t xml:space="preserve">L002</t>
  </si>
  <si>
    <t xml:space="preserve">Rahul Verma</t>
  </si>
  <si>
    <t xml:space="preserve">2025-10-02</t>
  </si>
  <si>
    <t xml:space="preserve">L003</t>
  </si>
  <si>
    <t xml:space="preserve">Arjun Patel</t>
  </si>
  <si>
    <t xml:space="preserve">2025-04-02</t>
  </si>
  <si>
    <t xml:space="preserve">L004</t>
  </si>
  <si>
    <t xml:space="preserve">2025-06-06</t>
  </si>
  <si>
    <t xml:space="preserve">L005</t>
  </si>
  <si>
    <t xml:space="preserve">2025-06-17</t>
  </si>
  <si>
    <t xml:space="preserve">L006</t>
  </si>
  <si>
    <t xml:space="preserve">Amit Sharma</t>
  </si>
  <si>
    <t xml:space="preserve">2025-06-14</t>
  </si>
  <si>
    <t xml:space="preserve">L007</t>
  </si>
  <si>
    <t xml:space="preserve">2025-03-14</t>
  </si>
  <si>
    <t xml:space="preserve">L008</t>
  </si>
  <si>
    <t xml:space="preserve">Rohit Kumar</t>
  </si>
  <si>
    <t xml:space="preserve">2025-08-14</t>
  </si>
  <si>
    <t xml:space="preserve">L009</t>
  </si>
  <si>
    <t xml:space="preserve">Neha Gupta</t>
  </si>
  <si>
    <t xml:space="preserve">2025-02-27</t>
  </si>
  <si>
    <t xml:space="preserve">L010</t>
  </si>
  <si>
    <t xml:space="preserve">2025-01-01</t>
  </si>
  <si>
    <t xml:space="preserve">L011</t>
  </si>
  <si>
    <t xml:space="preserve">2025-01-24</t>
  </si>
  <si>
    <t xml:space="preserve">L012</t>
  </si>
  <si>
    <t xml:space="preserve">Anjali Mishra</t>
  </si>
  <si>
    <t xml:space="preserve">2025-10-15</t>
  </si>
  <si>
    <t xml:space="preserve">L013</t>
  </si>
  <si>
    <t xml:space="preserve">2025-09-17</t>
  </si>
  <si>
    <t xml:space="preserve">L014</t>
  </si>
  <si>
    <t xml:space="preserve">2025-07-14</t>
  </si>
  <si>
    <t xml:space="preserve">L015</t>
  </si>
  <si>
    <t xml:space="preserve">Priya Singh</t>
  </si>
  <si>
    <t xml:space="preserve">2025-04-21</t>
  </si>
  <si>
    <t xml:space="preserve">L016</t>
  </si>
  <si>
    <t xml:space="preserve">2025-04-11</t>
  </si>
  <si>
    <t xml:space="preserve">L017</t>
  </si>
  <si>
    <t xml:space="preserve">2025-10-11</t>
  </si>
  <si>
    <t xml:space="preserve">L018</t>
  </si>
  <si>
    <t xml:space="preserve">2025-06-04</t>
  </si>
  <si>
    <t xml:space="preserve">L019</t>
  </si>
  <si>
    <t xml:space="preserve">2025-08-06</t>
  </si>
  <si>
    <t xml:space="preserve">L020</t>
  </si>
  <si>
    <t xml:space="preserve">2025-08-08</t>
  </si>
  <si>
    <t xml:space="preserve">L021</t>
  </si>
  <si>
    <t xml:space="preserve">2025-05-23</t>
  </si>
  <si>
    <t xml:space="preserve">L022</t>
  </si>
  <si>
    <t xml:space="preserve">2025-05-11</t>
  </si>
  <si>
    <t xml:space="preserve">L023</t>
  </si>
  <si>
    <t xml:space="preserve">Vikas Singh</t>
  </si>
  <si>
    <t xml:space="preserve">2025-01-28</t>
  </si>
  <si>
    <t xml:space="preserve">L024</t>
  </si>
  <si>
    <t xml:space="preserve">2025-12-02</t>
  </si>
  <si>
    <t xml:space="preserve">L025</t>
  </si>
  <si>
    <t xml:space="preserve">2025-10-08</t>
  </si>
  <si>
    <t xml:space="preserve">L026</t>
  </si>
  <si>
    <t xml:space="preserve">2025-01-26</t>
  </si>
  <si>
    <t xml:space="preserve">L027</t>
  </si>
  <si>
    <t xml:space="preserve">2025-06-01</t>
  </si>
  <si>
    <t xml:space="preserve">L028</t>
  </si>
  <si>
    <t xml:space="preserve">2025-09-05</t>
  </si>
  <si>
    <t xml:space="preserve">L029</t>
  </si>
  <si>
    <t xml:space="preserve">L030</t>
  </si>
  <si>
    <t xml:space="preserve">2025-03-12</t>
  </si>
  <si>
    <t xml:space="preserve">L031</t>
  </si>
  <si>
    <t xml:space="preserve">2025-09-21</t>
  </si>
  <si>
    <t xml:space="preserve">L032</t>
  </si>
  <si>
    <t xml:space="preserve">2025-07-11</t>
  </si>
  <si>
    <t xml:space="preserve">L033</t>
  </si>
  <si>
    <t xml:space="preserve">2025-09-11</t>
  </si>
  <si>
    <t xml:space="preserve">L034</t>
  </si>
  <si>
    <t xml:space="preserve">2025-02-15</t>
  </si>
  <si>
    <t xml:space="preserve">L035</t>
  </si>
  <si>
    <t xml:space="preserve">2025-04-05</t>
  </si>
  <si>
    <t xml:space="preserve">L036</t>
  </si>
  <si>
    <t xml:space="preserve">L037</t>
  </si>
  <si>
    <t xml:space="preserve">Sneha Roy</t>
  </si>
  <si>
    <t xml:space="preserve">2025-03-23</t>
  </si>
  <si>
    <t xml:space="preserve">L038</t>
  </si>
  <si>
    <t xml:space="preserve">2025-02-28</t>
  </si>
  <si>
    <t xml:space="preserve">L039</t>
  </si>
  <si>
    <t xml:space="preserve">2025-09-14</t>
  </si>
  <si>
    <t xml:space="preserve">L040</t>
  </si>
  <si>
    <t xml:space="preserve">2025-02-02</t>
  </si>
  <si>
    <t xml:space="preserve">L041</t>
  </si>
  <si>
    <t xml:space="preserve">2025-11-05</t>
  </si>
  <si>
    <t xml:space="preserve">L042</t>
  </si>
  <si>
    <t xml:space="preserve">2025-05-03</t>
  </si>
  <si>
    <t xml:space="preserve">L043</t>
  </si>
  <si>
    <t xml:space="preserve">2025-02-21</t>
  </si>
  <si>
    <t xml:space="preserve">L044</t>
  </si>
  <si>
    <t xml:space="preserve">2025-04-15</t>
  </si>
  <si>
    <t xml:space="preserve">L045</t>
  </si>
  <si>
    <t xml:space="preserve">2025-11-01</t>
  </si>
  <si>
    <t xml:space="preserve">L046</t>
  </si>
  <si>
    <t xml:space="preserve">2025-01-13</t>
  </si>
  <si>
    <t xml:space="preserve">L047</t>
  </si>
  <si>
    <t xml:space="preserve">2025-01-25</t>
  </si>
  <si>
    <t xml:space="preserve">L048</t>
  </si>
  <si>
    <t xml:space="preserve">2025-06-12</t>
  </si>
  <si>
    <t xml:space="preserve">L049</t>
  </si>
  <si>
    <t xml:space="preserve">2025-07-18</t>
  </si>
  <si>
    <t xml:space="preserve">L050</t>
  </si>
  <si>
    <t xml:space="preserve">2025-10-13</t>
  </si>
  <si>
    <t xml:space="preserve">L051</t>
  </si>
  <si>
    <t xml:space="preserve">2025-04-25</t>
  </si>
  <si>
    <t xml:space="preserve">L052</t>
  </si>
  <si>
    <t xml:space="preserve">2025-07-22</t>
  </si>
  <si>
    <t xml:space="preserve">L053</t>
  </si>
  <si>
    <t xml:space="preserve">L054</t>
  </si>
  <si>
    <t xml:space="preserve">2025-11-28</t>
  </si>
  <si>
    <t xml:space="preserve">L055</t>
  </si>
  <si>
    <t xml:space="preserve">2025-09-06</t>
  </si>
  <si>
    <t xml:space="preserve">L056</t>
  </si>
  <si>
    <t xml:space="preserve">2025-04-18</t>
  </si>
  <si>
    <t xml:space="preserve">L057</t>
  </si>
  <si>
    <t xml:space="preserve">2025-06-25</t>
  </si>
  <si>
    <t xml:space="preserve">L058</t>
  </si>
  <si>
    <t xml:space="preserve">2025-01-05</t>
  </si>
  <si>
    <t xml:space="preserve">L059</t>
  </si>
  <si>
    <t xml:space="preserve">L060</t>
  </si>
  <si>
    <t xml:space="preserve">2025-09-28</t>
  </si>
  <si>
    <t xml:space="preserve">L061</t>
  </si>
  <si>
    <t xml:space="preserve">2025-10-20</t>
  </si>
  <si>
    <t xml:space="preserve">L062</t>
  </si>
  <si>
    <t xml:space="preserve">2025-05-07</t>
  </si>
  <si>
    <t xml:space="preserve">L063</t>
  </si>
  <si>
    <t xml:space="preserve">2025-10-16</t>
  </si>
  <si>
    <t xml:space="preserve">L064</t>
  </si>
  <si>
    <t xml:space="preserve">2025-05-17</t>
  </si>
  <si>
    <t xml:space="preserve">L065</t>
  </si>
  <si>
    <t xml:space="preserve">2025-08-10</t>
  </si>
  <si>
    <t xml:space="preserve">L066</t>
  </si>
  <si>
    <t xml:space="preserve">2025-12-08</t>
  </si>
  <si>
    <t xml:space="preserve">L067</t>
  </si>
  <si>
    <t xml:space="preserve">L068</t>
  </si>
  <si>
    <t xml:space="preserve">2025-10-19</t>
  </si>
  <si>
    <t xml:space="preserve">L069</t>
  </si>
  <si>
    <t xml:space="preserve">2025-06-13</t>
  </si>
  <si>
    <t xml:space="preserve">L070</t>
  </si>
  <si>
    <t xml:space="preserve">L071</t>
  </si>
  <si>
    <t xml:space="preserve">2025-11-22</t>
  </si>
  <si>
    <t xml:space="preserve">L072</t>
  </si>
  <si>
    <t xml:space="preserve">L073</t>
  </si>
  <si>
    <t xml:space="preserve">2025-03-26</t>
  </si>
  <si>
    <t xml:space="preserve">L074</t>
  </si>
  <si>
    <t xml:space="preserve">2025-02-10</t>
  </si>
  <si>
    <t xml:space="preserve">L075</t>
  </si>
  <si>
    <t xml:space="preserve">2025-01-09</t>
  </si>
  <si>
    <t xml:space="preserve">L076</t>
  </si>
  <si>
    <t xml:space="preserve">2025-12-24</t>
  </si>
  <si>
    <t xml:space="preserve">L077</t>
  </si>
  <si>
    <t xml:space="preserve">2025-05-22</t>
  </si>
  <si>
    <t xml:space="preserve">L078</t>
  </si>
  <si>
    <t xml:space="preserve">2025-12-21</t>
  </si>
  <si>
    <t xml:space="preserve">L079</t>
  </si>
  <si>
    <t xml:space="preserve">2025-03-21</t>
  </si>
  <si>
    <t xml:space="preserve">L080</t>
  </si>
  <si>
    <t xml:space="preserve">2025-08-11</t>
  </si>
  <si>
    <t xml:space="preserve">L081</t>
  </si>
  <si>
    <t xml:space="preserve">2025-09-24</t>
  </si>
  <si>
    <t xml:space="preserve">L082</t>
  </si>
  <si>
    <t xml:space="preserve">L083</t>
  </si>
  <si>
    <t xml:space="preserve">2025-10-22</t>
  </si>
  <si>
    <t xml:space="preserve">L084</t>
  </si>
  <si>
    <t xml:space="preserve">2025-04-27</t>
  </si>
  <si>
    <t xml:space="preserve">L085</t>
  </si>
  <si>
    <t xml:space="preserve">2025-07-24</t>
  </si>
  <si>
    <t xml:space="preserve">L086</t>
  </si>
  <si>
    <t xml:space="preserve">L087</t>
  </si>
  <si>
    <t xml:space="preserve">2025-03-18</t>
  </si>
  <si>
    <t xml:space="preserve">L088</t>
  </si>
  <si>
    <t xml:space="preserve">2025-02-22</t>
  </si>
  <si>
    <t xml:space="preserve">L089</t>
  </si>
  <si>
    <t xml:space="preserve">2025-05-01</t>
  </si>
  <si>
    <t xml:space="preserve">L090</t>
  </si>
  <si>
    <t xml:space="preserve">L091</t>
  </si>
  <si>
    <t xml:space="preserve">2025-06-09</t>
  </si>
  <si>
    <t xml:space="preserve">L092</t>
  </si>
  <si>
    <t xml:space="preserve">2025-06-22</t>
  </si>
  <si>
    <t xml:space="preserve">L093</t>
  </si>
  <si>
    <t xml:space="preserve">2025-11-02</t>
  </si>
  <si>
    <t xml:space="preserve">L094</t>
  </si>
  <si>
    <t xml:space="preserve">2025-06-11</t>
  </si>
  <si>
    <t xml:space="preserve">L095</t>
  </si>
  <si>
    <t xml:space="preserve">2025-06-26</t>
  </si>
  <si>
    <t xml:space="preserve">L096</t>
  </si>
  <si>
    <t xml:space="preserve">L097</t>
  </si>
  <si>
    <t xml:space="preserve">2025-10-21</t>
  </si>
  <si>
    <t xml:space="preserve">L098</t>
  </si>
  <si>
    <t xml:space="preserve">2025-01-04</t>
  </si>
  <si>
    <t xml:space="preserve">L099</t>
  </si>
  <si>
    <t xml:space="preserve">2025-05-27</t>
  </si>
  <si>
    <t xml:space="preserve">L100</t>
  </si>
  <si>
    <t xml:space="preserve">2025-03-13</t>
  </si>
  <si>
    <t xml:space="preserve">Loan Amortization Schedule</t>
  </si>
  <si>
    <t xml:space="preserve">Auto-generated from the Effective Inputs on the "EMI Calculator" sheet (loaded customer loan, or manual entry). Rows beyond the loan tenure are left blank.</t>
  </si>
  <si>
    <t xml:space="preserve">Month No.</t>
  </si>
  <si>
    <t xml:space="preserve">Payment Date</t>
  </si>
  <si>
    <t xml:space="preserve">Opening Balance</t>
  </si>
  <si>
    <t xml:space="preserve">Principal Paid</t>
  </si>
  <si>
    <t xml:space="preserve">Interest Paid</t>
  </si>
  <si>
    <t xml:space="preserve">Closing Balance</t>
  </si>
  <si>
    <t xml:space="preserve">TOTALS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</si>
</sst>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;&quot;($&quot;#,##0.00\);\-"/>
    <numFmt numFmtId="166" formatCode="0.00\%"/>
    <numFmt numFmtId="167" formatCode="0.00%"/>
    <numFmt numFmtId="168" formatCode="0"/>
    <numFmt numFmtId="169" formatCode="dd\-mmm\-yyyy"/>
    <numFmt numFmtId="170" formatCode="0%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i val="true"/>
      <sz val="9"/>
      <color rgb="FF808080"/>
      <name val="Arial"/>
      <family val="0"/>
      <charset val="1"/>
    </font>
    <font>
      <b val="true"/>
      <sz val="16"/>
      <color rgb="FF1F4E78"/>
      <name val="Arial"/>
      <family val="0"/>
      <charset val="1"/>
    </font>
    <font>
      <sz val="8"/>
      <color rgb="FFBFBFB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3"/>
      <color rgb="FF000000"/>
      <name val="Arial"/>
      <family val="0"/>
      <charset val="1"/>
    </font>
    <font>
      <sz val="9"/>
      <color rgb="FF4F81BD"/>
      <name val="Calibri"/>
      <family val="2"/>
    </font>
    <font>
      <sz val="9"/>
      <color rgb="FF1F497D"/>
      <name val="Calibri"/>
      <family val="2"/>
    </font>
    <font>
      <sz val="9"/>
      <color rgb="FF000000"/>
      <name val="Calibri"/>
      <family val="2"/>
    </font>
    <font>
      <sz val="10"/>
      <name val="Arial"/>
      <family val="2"/>
    </font>
    <font>
      <sz val="9"/>
      <color rgb="FFFCD5B5"/>
      <name val="Calibri"/>
      <family val="2"/>
    </font>
    <font>
      <sz val="9"/>
      <color rgb="FFFFFFFF"/>
      <name val="Calibri"/>
      <family val="2"/>
    </font>
    <font>
      <sz val="9"/>
      <color rgb="FFD9D9D9"/>
      <name val="Calibri"/>
      <family val="2"/>
    </font>
    <font>
      <b val="true"/>
      <sz val="9"/>
      <color rgb="FFFFFFFF"/>
      <name val="Calibri"/>
      <family val="2"/>
    </font>
    <font>
      <sz val="9"/>
      <color rgb="FF404040"/>
      <name val="Calibri"/>
      <family val="2"/>
    </font>
    <font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97D"/>
      </patternFill>
    </fill>
    <fill>
      <patternFill patternType="solid">
        <fgColor rgb="FFFFFF00"/>
        <bgColor rgb="FFFFFF00"/>
      </patternFill>
    </fill>
    <fill>
      <patternFill patternType="solid">
        <fgColor rgb="FF4472C4"/>
        <bgColor rgb="FF397BCA"/>
      </patternFill>
    </fill>
    <fill>
      <patternFill patternType="solid">
        <fgColor rgb="FFF2F2F2"/>
        <bgColor rgb="FFFFFFFF"/>
      </patternFill>
    </fill>
    <fill>
      <patternFill patternType="solid">
        <fgColor rgb="FFDCE6F1"/>
        <bgColor rgb="FFD9D9D9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2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2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0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4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4E78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95959"/>
      <rgbColor rgb="FF800080"/>
      <rgbColor rgb="FF397BCA"/>
      <rgbColor rgb="FFBFBFBF"/>
      <rgbColor rgb="FF808080"/>
      <rgbColor rgb="FFB7B7B7"/>
      <rgbColor rgb="FFC0504D"/>
      <rgbColor rgb="FFF2F2F2"/>
      <rgbColor rgb="FFDCE6F1"/>
      <rgbColor rgb="FF660066"/>
      <rgbColor rgb="FFFF8080"/>
      <rgbColor rgb="FF2E5F99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B3B3B3"/>
      <rgbColor rgb="FFFCD5B5"/>
      <rgbColor rgb="FF4472C4"/>
      <rgbColor rgb="FF4BACC6"/>
      <rgbColor rgb="FF9BBB59"/>
      <rgbColor rgb="FFFFCC00"/>
      <rgbColor rgb="FFFF9900"/>
      <rgbColor rgb="FFFF6600"/>
      <rgbColor rgb="FF8064A2"/>
      <rgbColor rgb="FF878787"/>
      <rgbColor rgb="FF1F4E78"/>
      <rgbColor rgb="FF4F81BD"/>
      <rgbColor rgb="FF003300"/>
      <rgbColor rgb="FF404040"/>
      <rgbColor rgb="FF9C2F2C"/>
      <rgbColor rgb="FFCE3A36"/>
      <rgbColor rgb="FF1F497D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<Relationship Id="rId9" Type="http://schemas.openxmlformats.org/officeDocument/2006/relationships/pivotCacheDefinition" Target="pivotCache/pivotCacheDefinition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view3D>
      <c:rotX val="15"/>
      <c:rotY val="20"/>
      <c:rAngAx val="1"/>
      <c:perspective val="30"/>
    </c:view3D>
    <c:floor>
      <c:spPr>
        <a:noFill/>
        <a:ln w="9360">
          <a:noFill/>
        </a:ln>
      </c:spPr>
    </c:floor>
    <c:sideWall>
      <c:spPr>
        <a:noFill/>
        <a:ln w="9360">
          <a:noFill/>
        </a:ln>
      </c:spPr>
    </c:sideWall>
    <c:backWall>
      <c:spPr>
        <a:noFill/>
        <a:ln w="9360">
          <a:noFill/>
        </a:ln>
      </c:spPr>
    </c:backWall>
    <c:plotArea>
      <c:bar3D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Sum of Loan_Amount</c:v>
                </c:pt>
              </c:strCache>
            </c:strRef>
          </c:tx>
          <c:spPr>
            <a:solidFill>
              <a:srgbClr val="ff0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Table'!$A$4:$A$8</c:f>
              <c:strCache>
                <c:ptCount val="5"/>
                <c:pt idx="0">
                  <c:v>Car</c:v>
                </c:pt>
                <c:pt idx="1">
                  <c:v>Education</c:v>
                </c:pt>
                <c:pt idx="2">
                  <c:v>Home</c:v>
                </c:pt>
                <c:pt idx="3">
                  <c:v>Personal</c:v>
                </c:pt>
                <c:pt idx="4">
                  <c:v>Total Result</c:v>
                </c:pt>
              </c:strCache>
            </c:strRef>
          </c:cat>
          <c:val>
            <c:numRef>
              <c:f>'Pivot Table'!$B$4:$B$8</c:f>
              <c:numCache>
                <c:formatCode>General</c:formatCode>
                <c:ptCount val="5"/>
                <c:pt idx="0">
                  <c:v>24250000</c:v>
                </c:pt>
                <c:pt idx="1">
                  <c:v>18800000</c:v>
                </c:pt>
                <c:pt idx="2">
                  <c:v>28050000</c:v>
                </c:pt>
                <c:pt idx="3">
                  <c:v>15200000</c:v>
                </c:pt>
                <c:pt idx="4">
                  <c:v>86300000</c:v>
                </c:pt>
              </c:numCache>
            </c:numRef>
          </c:val>
        </c:ser>
        <c:gapWidth val="150"/>
        <c:shape val="box"/>
        <c:axId val="26432928"/>
        <c:axId val="70204287"/>
        <c:axId val="0"/>
      </c:bar3DChart>
      <c:catAx>
        <c:axId val="264329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4f81bd"/>
                </a:solidFill>
                <a:latin typeface="Calibri"/>
              </a:defRPr>
            </a:pPr>
          </a:p>
        </c:txPr>
        <c:crossAx val="70204287"/>
        <c:crosses val="autoZero"/>
        <c:auto val="1"/>
        <c:lblAlgn val="ctr"/>
        <c:lblOffset val="100"/>
        <c:noMultiLvlLbl val="0"/>
      </c:catAx>
      <c:valAx>
        <c:axId val="70204287"/>
        <c:scaling>
          <c:orientation val="minMax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1f497d"/>
                </a:solidFill>
                <a:latin typeface="Calibri"/>
              </a:defRPr>
            </a:pPr>
          </a:p>
        </c:txPr>
        <c:crossAx val="26432928"/>
        <c:crosses val="autoZero"/>
        <c:crossBetween val="between"/>
      </c:valAx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4f81bd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view3D>
      <c:rotX val="15"/>
      <c:rotY val="20"/>
      <c:rAngAx val="1"/>
      <c:perspective val="30"/>
    </c:view3D>
    <c:floor>
      <c:spPr>
        <a:noFill/>
        <a:ln w="9360">
          <a:noFill/>
        </a:ln>
      </c:spPr>
    </c:floor>
    <c:sideWall>
      <c:spPr>
        <a:noFill/>
        <a:ln w="9360">
          <a:noFill/>
        </a:ln>
      </c:spPr>
    </c:sideWall>
    <c:backWall>
      <c:spPr>
        <a:noFill/>
        <a:ln w="9360">
          <a:noFill/>
        </a:ln>
      </c:spPr>
    </c:backWall>
    <c:plotArea>
      <c:layout>
        <c:manualLayout>
          <c:layoutTarget val="inner"/>
          <c:xMode val="edge"/>
          <c:yMode val="edge"/>
          <c:x val="0.17526211391329"/>
          <c:y val="0.164232488822653"/>
          <c:w val="0.559365259280249"/>
          <c:h val="0.508345752608048"/>
        </c:manualLayout>
      </c:layout>
      <c:bar3DChart>
        <c:barDir val="col"/>
        <c:grouping val="percentStacked"/>
        <c:varyColors val="0"/>
        <c:ser>
          <c:idx val="0"/>
          <c:order val="0"/>
          <c:tx>
            <c:strRef>
              <c:f>'Pivot Table'!$E$3</c:f>
              <c:strCache>
                <c:ptCount val="1"/>
                <c:pt idx="0">
                  <c:v>Count of Loan_ID</c:v>
                </c:pt>
              </c:strCache>
            </c:strRef>
          </c:tx>
          <c:spPr>
            <a:solidFill>
              <a:srgbClr val="ffffff"/>
            </a:solidFill>
            <a:ln w="25560">
              <a:solidFill>
                <a:srgbClr val="c0504d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Table'!$D$4:$D$9</c:f>
              <c:strCache>
                <c:ptCount val="6"/>
                <c:pt idx="0">
                  <c:v>Delhi</c:v>
                </c:pt>
                <c:pt idx="1">
                  <c:v>Jaipur</c:v>
                </c:pt>
                <c:pt idx="2">
                  <c:v>Kolkata</c:v>
                </c:pt>
                <c:pt idx="3">
                  <c:v>Lucknow</c:v>
                </c:pt>
                <c:pt idx="4">
                  <c:v>Mumbai</c:v>
                </c:pt>
                <c:pt idx="5">
                  <c:v>Pune</c:v>
                </c:pt>
              </c:strCache>
            </c:strRef>
          </c:cat>
          <c:val>
            <c:numRef>
              <c:f>'Pivot Table'!$E$4:$E$9</c:f>
              <c:numCache>
                <c:formatCode>General</c:formatCode>
                <c:ptCount val="6"/>
                <c:pt idx="0">
                  <c:v>18</c:v>
                </c:pt>
                <c:pt idx="1">
                  <c:v>11</c:v>
                </c:pt>
                <c:pt idx="2">
                  <c:v>22</c:v>
                </c:pt>
                <c:pt idx="3">
                  <c:v>20</c:v>
                </c:pt>
                <c:pt idx="4">
                  <c:v>16</c:v>
                </c:pt>
                <c:pt idx="5">
                  <c:v>13</c:v>
                </c:pt>
              </c:numCache>
            </c:numRef>
          </c:val>
        </c:ser>
        <c:gapWidth val="150"/>
        <c:shape val="box"/>
        <c:axId val="31616723"/>
        <c:axId val="72616358"/>
        <c:axId val="0"/>
      </c:bar3DChart>
      <c:catAx>
        <c:axId val="3161672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616358"/>
        <c:crosses val="autoZero"/>
        <c:auto val="1"/>
        <c:lblAlgn val="ctr"/>
        <c:lblOffset val="100"/>
        <c:noMultiLvlLbl val="0"/>
      </c:catAx>
      <c:valAx>
        <c:axId val="7261635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616723"/>
        <c:crosses val="autoZero"/>
        <c:crossBetween val="between"/>
      </c:valAx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25560">
      <a:solidFill>
        <a:srgbClr val="4f81bd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'Pivot Table'!$I$5</c:f>
              <c:strCache>
                <c:ptCount val="1"/>
                <c:pt idx="0">
                  <c:v>Sum of EMI</c:v>
                </c:pt>
              </c:strCache>
            </c:strRef>
          </c:tx>
          <c:spPr>
            <a:gradFill>
              <a:gsLst>
                <a:gs pos="0">
                  <a:srgbClr val="2e5f99"/>
                </a:gs>
                <a:gs pos="80000">
                  <a:srgbClr val="3c7ac7"/>
                </a:gs>
                <a:gs pos="100000">
                  <a:srgbClr val="397bca"/>
                </a:gs>
              </a:gsLst>
              <a:lin ang="16200000"/>
            </a:gra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Table'!$H$6:$H$10</c:f>
              <c:strCache>
                <c:ptCount val="5"/>
                <c:pt idx="0">
                  <c:v>Car</c:v>
                </c:pt>
                <c:pt idx="1">
                  <c:v>Education</c:v>
                </c:pt>
                <c:pt idx="2">
                  <c:v>Home</c:v>
                </c:pt>
                <c:pt idx="3">
                  <c:v>Personal</c:v>
                </c:pt>
                <c:pt idx="4">
                  <c:v>Total Result</c:v>
                </c:pt>
              </c:strCache>
            </c:strRef>
          </c:cat>
          <c:val>
            <c:numRef>
              <c:f>'Pivot Table'!$I$6:$I$10</c:f>
              <c:numCache>
                <c:formatCode>General</c:formatCode>
                <c:ptCount val="5"/>
                <c:pt idx="0">
                  <c:v>396933.12</c:v>
                </c:pt>
                <c:pt idx="1">
                  <c:v>262941.15</c:v>
                </c:pt>
                <c:pt idx="2">
                  <c:v>412173.06</c:v>
                </c:pt>
                <c:pt idx="3">
                  <c:v>301643.29</c:v>
                </c:pt>
                <c:pt idx="4">
                  <c:v>1373690.62</c:v>
                </c:pt>
              </c:numCache>
            </c:numRef>
          </c:val>
        </c:ser>
        <c:gapWidth val="115"/>
        <c:overlap val="-20"/>
        <c:axId val="2636511"/>
        <c:axId val="78965783"/>
      </c:barChart>
      <c:catAx>
        <c:axId val="263651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f2f2f2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965783"/>
        <c:crosses val="autoZero"/>
        <c:auto val="1"/>
        <c:lblAlgn val="ctr"/>
        <c:lblOffset val="100"/>
        <c:noMultiLvlLbl val="0"/>
      </c:catAx>
      <c:valAx>
        <c:axId val="78965783"/>
        <c:scaling>
          <c:orientation val="minMax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365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gradFill>
      <a:gsLst>
        <a:gs pos="0">
          <a:srgbClr val="595959"/>
        </a:gs>
        <a:gs pos="100000">
          <a:srgbClr val="262626"/>
        </a:gs>
      </a:gsLst>
      <a:path path="circle">
        <a:fillToRect l="50000" t="50000" r="50000" b="50000"/>
      </a:path>
    </a:gradFill>
    <a:ln w="936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39844779616342"/>
          <c:y val="0.216943074854325"/>
          <c:w val="0.515155952555279"/>
          <c:h val="0.685641715224862"/>
        </c:manualLayout>
      </c:layout>
      <c:pieChart>
        <c:varyColors val="1"/>
        <c:ser>
          <c:idx val="0"/>
          <c:order val="0"/>
          <c:tx>
            <c:strRef>
              <c:f>'Pivot Table'!$L$5</c:f>
              <c:strCache>
                <c:ptCount val="1"/>
                <c:pt idx="0">
                  <c:v>Sum of Total_Interest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'Pivot Table'!$K$6:$K$10</c:f>
              <c:strCache>
                <c:ptCount val="5"/>
                <c:pt idx="0">
                  <c:v>Car</c:v>
                </c:pt>
                <c:pt idx="1">
                  <c:v>Education</c:v>
                </c:pt>
                <c:pt idx="2">
                  <c:v>Home</c:v>
                </c:pt>
                <c:pt idx="3">
                  <c:v>Personal</c:v>
                </c:pt>
                <c:pt idx="4">
                  <c:v>Total Result</c:v>
                </c:pt>
              </c:strCache>
            </c:strRef>
          </c:cat>
          <c:val>
            <c:numRef>
              <c:f>'Pivot Table'!$L$6:$L$10</c:f>
              <c:numCache>
                <c:formatCode>General</c:formatCode>
                <c:ptCount val="5"/>
                <c:pt idx="0">
                  <c:v>23115382.92</c:v>
                </c:pt>
                <c:pt idx="1">
                  <c:v>13430520.73</c:v>
                </c:pt>
                <c:pt idx="2">
                  <c:v>22577664.44</c:v>
                </c:pt>
                <c:pt idx="3">
                  <c:v>9406055.76</c:v>
                </c:pt>
                <c:pt idx="4">
                  <c:v>68529623.85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'Pivot Table'!$A$19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rgbClr val="4f81bd"/>
            </a:solidFill>
            <a:ln cap="rnd" w="22320">
              <a:solidFill>
                <a:srgbClr val="4f81bd"/>
              </a:solidFill>
              <a:round/>
            </a:ln>
          </c:spPr>
          <c:marker>
            <c:symbol val="circle"/>
            <c:size val="4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Table'!$A$20</c:f>
              <c:strCache>
                <c:ptCount val="1"/>
                <c:pt idx="0">
                  <c:v>Sum of Tenure_Years</c:v>
                </c:pt>
              </c:strCache>
            </c:strRef>
          </c:cat>
          <c:val>
            <c:numRef>
              <c:f>'Pivot Table'!$A$20</c:f>
              <c:numCache>
                <c:formatCode>General</c:formatCode>
                <c:ptCount val="1"/>
              </c:numCache>
            </c:numRef>
          </c:val>
          <c:smooth val="0"/>
        </c:ser>
        <c:ser>
          <c:idx val="1"/>
          <c:order val="1"/>
          <c:tx>
            <c:strRef>
              <c:f>'Pivot Table'!$B$19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c0504d"/>
            </a:solidFill>
            <a:ln cap="rnd" w="22320">
              <a:solidFill>
                <a:srgbClr val="c0504d"/>
              </a:solidFill>
              <a:round/>
            </a:ln>
          </c:spPr>
          <c:marker>
            <c:symbol val="circle"/>
            <c:size val="4"/>
            <c:spPr>
              <a:solidFill>
                <a:srgbClr val="c0504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Table'!$A$20</c:f>
              <c:strCache>
                <c:ptCount val="1"/>
                <c:pt idx="0">
                  <c:v>Sum of Tenure_Years</c:v>
                </c:pt>
              </c:strCache>
            </c:strRef>
          </c:cat>
          <c:val>
            <c:numRef>
              <c:f>'Pivot Table'!$B$20</c:f>
              <c:numCache>
                <c:formatCode>General</c:formatCode>
                <c:ptCount val="1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3303105"/>
        <c:axId val="1093736"/>
      </c:lineChart>
      <c:catAx>
        <c:axId val="53303105"/>
        <c:scaling>
          <c:orientation val="minMax"/>
        </c:scaling>
        <c:delete val="0"/>
        <c:axPos val="b"/>
        <c:majorGridlines>
          <c:spPr>
            <a:ln w="9360">
              <a:solidFill>
                <a:srgbClr val="59595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4f81bd"/>
                </a:solidFill>
                <a:latin typeface="Calibri"/>
              </a:defRPr>
            </a:pPr>
          </a:p>
        </c:txPr>
        <c:crossAx val="1093736"/>
        <c:crosses val="autoZero"/>
        <c:auto val="1"/>
        <c:lblAlgn val="ctr"/>
        <c:lblOffset val="100"/>
        <c:noMultiLvlLbl val="0"/>
      </c:catAx>
      <c:valAx>
        <c:axId val="1093736"/>
        <c:scaling>
          <c:orientation val="minMax"/>
        </c:scaling>
        <c:delete val="0"/>
        <c:axPos val="l"/>
        <c:majorGridlines>
          <c:spPr>
            <a:ln w="9360">
              <a:solidFill>
                <a:srgbClr val="59595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4f81bd"/>
                </a:solidFill>
                <a:latin typeface="Calibri"/>
              </a:defRPr>
            </a:pPr>
          </a:p>
        </c:txPr>
        <c:crossAx val="5330310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4f81bd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404040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view3D>
      <c:rotX val="15"/>
      <c:rotY val="20"/>
      <c:rAngAx val="1"/>
      <c:perspective val="30"/>
    </c:view3D>
    <c:floor>
      <c:spPr>
        <a:solidFill>
          <a:srgbClr val="4f81bd"/>
        </a:solidFill>
        <a:ln w="9360">
          <a:noFill/>
        </a:ln>
      </c:spPr>
    </c:floor>
    <c:sideWall>
      <c:spPr>
        <a:noFill/>
        <a:ln w="9360">
          <a:noFill/>
        </a:ln>
      </c:spPr>
    </c:sideWall>
    <c:backWall>
      <c:spPr>
        <a:noFill/>
        <a:ln w="9360">
          <a:noFill/>
        </a:ln>
      </c:spPr>
    </c:backWall>
    <c:plotArea>
      <c:bar3DChart>
        <c:barDir val="bar"/>
        <c:grouping val="clustered"/>
        <c:varyColors val="0"/>
        <c:ser>
          <c:idx val="0"/>
          <c:order val="0"/>
          <c:tx>
            <c:strRef>
              <c:f>'Pivot Table'!$E$18</c:f>
              <c:strCache>
                <c:ptCount val="1"/>
                <c:pt idx="0">
                  <c:v>Sum of Loan_Amount</c:v>
                </c:pt>
              </c:strCache>
            </c:strRef>
          </c:tx>
          <c:spPr>
            <a:solidFill>
              <a:srgbClr val="ffff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Table'!$D$19:$D$25</c:f>
              <c:strCache>
                <c:ptCount val="7"/>
                <c:pt idx="0">
                  <c:v>Delhi</c:v>
                </c:pt>
                <c:pt idx="1">
                  <c:v>Jaipur</c:v>
                </c:pt>
                <c:pt idx="2">
                  <c:v>Kolkata</c:v>
                </c:pt>
                <c:pt idx="3">
                  <c:v>Lucknow</c:v>
                </c:pt>
                <c:pt idx="4">
                  <c:v>Mumbai</c:v>
                </c:pt>
                <c:pt idx="5">
                  <c:v>Pune</c:v>
                </c:pt>
                <c:pt idx="6">
                  <c:v>Total Result</c:v>
                </c:pt>
              </c:strCache>
            </c:strRef>
          </c:cat>
          <c:val>
            <c:numRef>
              <c:f>'Pivot Table'!$E$19:$E$25</c:f>
              <c:numCache>
                <c:formatCode>General</c:formatCode>
                <c:ptCount val="7"/>
                <c:pt idx="0">
                  <c:v>16150000</c:v>
                </c:pt>
                <c:pt idx="1">
                  <c:v>6850000</c:v>
                </c:pt>
                <c:pt idx="2">
                  <c:v>18100000</c:v>
                </c:pt>
                <c:pt idx="3">
                  <c:v>17650000</c:v>
                </c:pt>
                <c:pt idx="4">
                  <c:v>13350000</c:v>
                </c:pt>
                <c:pt idx="5">
                  <c:v>14200000</c:v>
                </c:pt>
                <c:pt idx="6">
                  <c:v>86300000</c:v>
                </c:pt>
              </c:numCache>
            </c:numRef>
          </c:val>
        </c:ser>
        <c:gapWidth val="154"/>
        <c:shape val="box"/>
        <c:axId val="86401610"/>
        <c:axId val="34620791"/>
        <c:axId val="0"/>
      </c:bar3DChart>
      <c:catAx>
        <c:axId val="86401610"/>
        <c:scaling>
          <c:orientation val="minMax"/>
        </c:scaling>
        <c:delete val="0"/>
        <c:axPos val="b"/>
        <c:majorGridlines>
          <c:spPr>
            <a:ln w="9360">
              <a:solidFill>
                <a:srgbClr val="ffffff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145" strike="noStrike">
                <a:solidFill>
                  <a:srgbClr val="fcd5b5"/>
                </a:solidFill>
                <a:latin typeface="Calibri"/>
              </a:defRPr>
            </a:pPr>
          </a:p>
        </c:txPr>
        <c:crossAx val="34620791"/>
        <c:crosses val="autoZero"/>
        <c:auto val="1"/>
        <c:lblAlgn val="ctr"/>
        <c:lblOffset val="100"/>
        <c:noMultiLvlLbl val="0"/>
      </c:catAx>
      <c:valAx>
        <c:axId val="34620791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ffffff"/>
                </a:solidFill>
                <a:latin typeface="Calibri"/>
              </a:defRPr>
            </a:pPr>
          </a:p>
        </c:txPr>
        <c:crossAx val="86401610"/>
        <c:crosses val="autoZero"/>
        <c:crossBetween val="between"/>
      </c:valAx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ffffff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4f81bd"/>
    </a:solidFill>
    <a:ln w="9360">
      <a:solidFill>
        <a:srgbClr val="4f81bd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view3D>
      <c:rotX val="15"/>
      <c:rotY val="20"/>
      <c:rAngAx val="1"/>
      <c:perspective val="30"/>
    </c:view3D>
    <c:floor>
      <c:spPr>
        <a:noFill/>
        <a:ln w="9360">
          <a:noFill/>
        </a:ln>
      </c:spPr>
    </c:floor>
    <c:sideWall>
      <c:spPr>
        <a:noFill/>
        <a:ln w="9360">
          <a:noFill/>
        </a:ln>
      </c:spPr>
    </c:sideWall>
    <c:backWall>
      <c:spPr>
        <a:noFill/>
        <a:ln w="9360">
          <a:noFill/>
        </a:ln>
      </c:spPr>
    </c:backWall>
    <c:plotArea>
      <c:bar3DChart>
        <c:barDir val="col"/>
        <c:grouping val="percentStacked"/>
        <c:varyColors val="0"/>
        <c:ser>
          <c:idx val="0"/>
          <c:order val="0"/>
          <c:tx>
            <c:strRef>
              <c:f>'Pivot Table'!$H$20</c:f>
              <c:strCache>
                <c:ptCount val="1"/>
                <c:pt idx="0">
                  <c:v>Sum of Total_Payment</c:v>
                </c:pt>
              </c:strCache>
            </c:strRef>
          </c:tx>
          <c:spPr>
            <a:gradFill>
              <a:gsLst>
                <a:gs pos="0">
                  <a:srgbClr val="9c2f2c"/>
                </a:gs>
                <a:gs pos="80000">
                  <a:srgbClr val="cb3d39"/>
                </a:gs>
                <a:gs pos="100000">
                  <a:srgbClr val="ce3a36"/>
                </a:gs>
              </a:gsLst>
              <a:lin ang="16200000"/>
            </a:gra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Table'!$G$21:$G$25</c:f>
              <c:strCache>
                <c:ptCount val="5"/>
                <c:pt idx="0">
                  <c:v>Car</c:v>
                </c:pt>
                <c:pt idx="1">
                  <c:v>Education</c:v>
                </c:pt>
                <c:pt idx="2">
                  <c:v>Home</c:v>
                </c:pt>
                <c:pt idx="3">
                  <c:v>Personal</c:v>
                </c:pt>
                <c:pt idx="4">
                  <c:v>Total Result</c:v>
                </c:pt>
              </c:strCache>
            </c:strRef>
          </c:cat>
          <c:val>
            <c:numRef>
              <c:f>'Pivot Table'!$H$21:$H$25</c:f>
              <c:numCache>
                <c:formatCode>General</c:formatCode>
                <c:ptCount val="5"/>
                <c:pt idx="0">
                  <c:v>47365382.92</c:v>
                </c:pt>
                <c:pt idx="1">
                  <c:v>32230520.73</c:v>
                </c:pt>
                <c:pt idx="2">
                  <c:v>50627664.44</c:v>
                </c:pt>
                <c:pt idx="3">
                  <c:v>24606055.76</c:v>
                </c:pt>
                <c:pt idx="4">
                  <c:v>154829623.85</c:v>
                </c:pt>
              </c:numCache>
            </c:numRef>
          </c:val>
        </c:ser>
        <c:gapWidth val="150"/>
        <c:shape val="box"/>
        <c:axId val="71458197"/>
        <c:axId val="75395805"/>
        <c:axId val="0"/>
      </c:bar3DChart>
      <c:catAx>
        <c:axId val="7145819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d9d9d9"/>
                </a:solidFill>
                <a:latin typeface="Calibri"/>
              </a:defRPr>
            </a:pPr>
          </a:p>
        </c:txPr>
        <c:crossAx val="75395805"/>
        <c:crosses val="autoZero"/>
        <c:auto val="1"/>
        <c:lblAlgn val="ctr"/>
        <c:lblOffset val="100"/>
        <c:noMultiLvlLbl val="0"/>
      </c:catAx>
      <c:valAx>
        <c:axId val="75395805"/>
        <c:scaling>
          <c:orientation val="minMax"/>
        </c:scaling>
        <c:delete val="0"/>
        <c:axPos val="l"/>
        <c:majorGridlines>
          <c:spPr>
            <a:ln w="9360">
              <a:solidFill>
                <a:srgbClr val="808080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d9d9d9"/>
                </a:solidFill>
                <a:latin typeface="Calibri"/>
              </a:defRPr>
            </a:pPr>
          </a:p>
        </c:txPr>
        <c:crossAx val="71458197"/>
        <c:crosses val="autoZero"/>
        <c:crossBetween val="between"/>
      </c:valAx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d9d9d9"/>
              </a:solidFill>
              <a:latin typeface="Calibri"/>
            </a:defRPr>
          </a:pPr>
        </a:p>
      </c:txPr>
    </c:legend>
    <c:plotVisOnly val="1"/>
    <c:dispBlanksAs val="gap"/>
  </c:chart>
  <c:spPr>
    <a:gradFill>
      <a:gsLst>
        <a:gs pos="0">
          <a:srgbClr val="595959"/>
        </a:gs>
        <a:gs pos="100000">
          <a:srgbClr val="262626"/>
        </a:gs>
      </a:gsLst>
      <a:path path="circle">
        <a:fillToRect l="50000" t="50000" r="50000" b="50000"/>
      </a:path>
    </a:gradFill>
    <a:ln w="9360">
      <a:noFill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'Pivot Table'!$B$31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rgbClr val="4f81bd"/>
            </a:solidFill>
            <a:ln cap="rnd" w="31680">
              <a:solidFill>
                <a:srgbClr val="4f81bd"/>
              </a:solidFill>
              <a:round/>
            </a:ln>
          </c:spPr>
          <c:marker>
            <c:symbol val="circle"/>
            <c:size val="17"/>
            <c:spPr>
              <a:solidFill>
                <a:srgbClr val="4f81bd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1" sz="90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Table'!$B$32</c:f>
              <c:strCache>
                <c:ptCount val="1"/>
                <c:pt idx="0">
                  <c:v>Sum of Total_Interest</c:v>
                </c:pt>
              </c:strCache>
            </c:strRef>
          </c:cat>
          <c:val>
            <c:numRef>
              <c:f>'Pivot Table'!$B$32</c:f>
              <c:numCache>
                <c:formatCode>General</c:formatCode>
                <c:ptCount val="1"/>
              </c:numCache>
            </c:numRef>
          </c:val>
          <c:smooth val="0"/>
        </c:ser>
        <c:ser>
          <c:idx val="1"/>
          <c:order val="1"/>
          <c:tx>
            <c:strRef>
              <c:f>'Pivot Table'!$C$31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c0504d"/>
            </a:solidFill>
            <a:ln cap="rnd" w="31680">
              <a:solidFill>
                <a:srgbClr val="c0504d"/>
              </a:solidFill>
              <a:round/>
            </a:ln>
          </c:spPr>
          <c:marker>
            <c:symbol val="circle"/>
            <c:size val="17"/>
            <c:spPr>
              <a:solidFill>
                <a:srgbClr val="c0504d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1" sz="90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Table'!$B$32</c:f>
              <c:strCache>
                <c:ptCount val="1"/>
                <c:pt idx="0">
                  <c:v>Sum of Total_Interest</c:v>
                </c:pt>
              </c:strCache>
            </c:strRef>
          </c:cat>
          <c:val>
            <c:numRef>
              <c:f>'Pivot Table'!$C$32</c:f>
              <c:numCache>
                <c:formatCode>General</c:formatCode>
                <c:ptCount val="1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840182"/>
        <c:axId val="76604403"/>
      </c:lineChart>
      <c:catAx>
        <c:axId val="884018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9080">
            <a:solidFill>
              <a:srgbClr val="404040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76604403"/>
        <c:crosses val="autoZero"/>
        <c:auto val="1"/>
        <c:lblAlgn val="ctr"/>
        <c:lblOffset val="100"/>
        <c:noMultiLvlLbl val="0"/>
      </c:catAx>
      <c:valAx>
        <c:axId val="76604403"/>
        <c:scaling>
          <c:orientation val="minMax"/>
        </c:scaling>
        <c:delete val="1"/>
        <c:axPos val="l"/>
        <c:majorGridlines>
          <c:spPr>
            <a:ln w="9360">
              <a:solidFill>
                <a:srgbClr val="bfbfbf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40182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solidFill>
          <a:srgbClr val="f2f2f2"/>
        </a:solidFill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404040"/>
              </a:solidFill>
              <a:latin typeface="Calibri"/>
            </a:defRPr>
          </a:pPr>
        </a:p>
      </c:txPr>
    </c:legend>
    <c:plotVisOnly val="1"/>
    <c:dispBlanksAs val="zero"/>
  </c:chart>
  <c:spPr>
    <a:gradFill>
      <a:gsLst>
        <a:gs pos="0">
          <a:srgbClr val="ffffff"/>
        </a:gs>
        <a:gs pos="39000">
          <a:srgbClr val="ffffff"/>
        </a:gs>
        <a:gs pos="100000">
          <a:srgbClr val="bfbfbf"/>
        </a:gs>
      </a:gsLst>
      <a:path path="circle">
        <a:fillToRect l="50000" t="0" r="50000" b="100000"/>
      </a:path>
    </a:gradFill>
    <a:ln w="9360">
      <a:solidFill>
        <a:srgbClr val="bfbfbf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165240</xdr:colOff>
      <xdr:row>0</xdr:row>
      <xdr:rowOff>0</xdr:rowOff>
    </xdr:from>
    <xdr:to>
      <xdr:col>19</xdr:col>
      <xdr:colOff>164520</xdr:colOff>
      <xdr:row>12</xdr:row>
      <xdr:rowOff>119880</xdr:rowOff>
    </xdr:to>
    <xdr:graphicFrame>
      <xdr:nvGraphicFramePr>
        <xdr:cNvPr id="0" name="Chart 1"/>
        <xdr:cNvGraphicFramePr/>
      </xdr:nvGraphicFramePr>
      <xdr:xfrm>
        <a:off x="8726400" y="0"/>
        <a:ext cx="3056760" cy="2291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44280</xdr:colOff>
      <xdr:row>0</xdr:row>
      <xdr:rowOff>0</xdr:rowOff>
    </xdr:from>
    <xdr:to>
      <xdr:col>8</xdr:col>
      <xdr:colOff>138960</xdr:colOff>
      <xdr:row>13</xdr:row>
      <xdr:rowOff>62640</xdr:rowOff>
    </xdr:to>
    <xdr:graphicFrame>
      <xdr:nvGraphicFramePr>
        <xdr:cNvPr id="1" name="Chart 2"/>
        <xdr:cNvGraphicFramePr/>
      </xdr:nvGraphicFramePr>
      <xdr:xfrm>
        <a:off x="2490480" y="0"/>
        <a:ext cx="2540520" cy="2415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171360</xdr:colOff>
      <xdr:row>0</xdr:row>
      <xdr:rowOff>0</xdr:rowOff>
    </xdr:from>
    <xdr:to>
      <xdr:col>14</xdr:col>
      <xdr:colOff>37440</xdr:colOff>
      <xdr:row>12</xdr:row>
      <xdr:rowOff>170640</xdr:rowOff>
    </xdr:to>
    <xdr:graphicFrame>
      <xdr:nvGraphicFramePr>
        <xdr:cNvPr id="2" name="Chart 3"/>
        <xdr:cNvGraphicFramePr/>
      </xdr:nvGraphicFramePr>
      <xdr:xfrm>
        <a:off x="5063400" y="0"/>
        <a:ext cx="3535200" cy="2342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11880</xdr:colOff>
      <xdr:row>13</xdr:row>
      <xdr:rowOff>56520</xdr:rowOff>
    </xdr:to>
    <xdr:graphicFrame>
      <xdr:nvGraphicFramePr>
        <xdr:cNvPr id="3" name="Chart 4"/>
        <xdr:cNvGraphicFramePr/>
      </xdr:nvGraphicFramePr>
      <xdr:xfrm>
        <a:off x="0" y="0"/>
        <a:ext cx="2458080" cy="2409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13</xdr:row>
      <xdr:rowOff>25560</xdr:rowOff>
    </xdr:from>
    <xdr:to>
      <xdr:col>5</xdr:col>
      <xdr:colOff>551880</xdr:colOff>
      <xdr:row>25</xdr:row>
      <xdr:rowOff>24840</xdr:rowOff>
    </xdr:to>
    <xdr:graphicFrame>
      <xdr:nvGraphicFramePr>
        <xdr:cNvPr id="4" name="Chart 5"/>
        <xdr:cNvGraphicFramePr/>
      </xdr:nvGraphicFramePr>
      <xdr:xfrm>
        <a:off x="0" y="2378160"/>
        <a:ext cx="3609360" cy="2171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6</xdr:col>
      <xdr:colOff>63360</xdr:colOff>
      <xdr:row>13</xdr:row>
      <xdr:rowOff>50760</xdr:rowOff>
    </xdr:from>
    <xdr:to>
      <xdr:col>13</xdr:col>
      <xdr:colOff>24480</xdr:colOff>
      <xdr:row>25</xdr:row>
      <xdr:rowOff>88200</xdr:rowOff>
    </xdr:to>
    <xdr:graphicFrame>
      <xdr:nvGraphicFramePr>
        <xdr:cNvPr id="5" name="Chart 6"/>
        <xdr:cNvGraphicFramePr/>
      </xdr:nvGraphicFramePr>
      <xdr:xfrm>
        <a:off x="3732480" y="2403360"/>
        <a:ext cx="4241520" cy="2209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25</xdr:row>
      <xdr:rowOff>44280</xdr:rowOff>
    </xdr:from>
    <xdr:to>
      <xdr:col>6</xdr:col>
      <xdr:colOff>450000</xdr:colOff>
      <xdr:row>39</xdr:row>
      <xdr:rowOff>170640</xdr:rowOff>
    </xdr:to>
    <xdr:graphicFrame>
      <xdr:nvGraphicFramePr>
        <xdr:cNvPr id="6" name="Chart 7"/>
        <xdr:cNvGraphicFramePr/>
      </xdr:nvGraphicFramePr>
      <xdr:xfrm>
        <a:off x="0" y="4568760"/>
        <a:ext cx="4119120" cy="2660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6</xdr:col>
      <xdr:colOff>431640</xdr:colOff>
      <xdr:row>25</xdr:row>
      <xdr:rowOff>88920</xdr:rowOff>
    </xdr:from>
    <xdr:to>
      <xdr:col>13</xdr:col>
      <xdr:colOff>18000</xdr:colOff>
      <xdr:row>39</xdr:row>
      <xdr:rowOff>50040</xdr:rowOff>
    </xdr:to>
    <xdr:graphicFrame>
      <xdr:nvGraphicFramePr>
        <xdr:cNvPr id="7" name="Chart 8"/>
        <xdr:cNvGraphicFramePr/>
      </xdr:nvGraphicFramePr>
      <xdr:xfrm>
        <a:off x="4100760" y="4613400"/>
        <a:ext cx="3866760" cy="2494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00" createdVersion="3">
  <cacheSource type="worksheet">
    <worksheetSource ref="A1:K101" sheet="Cleaned_Data"/>
  </cacheSource>
  <cacheFields count="11">
    <cacheField name="Loan_ID" numFmtId="0">
      <sharedItems count="100">
        <s v="L001"/>
        <s v="L002"/>
        <s v="L003"/>
        <s v="L004"/>
        <s v="L005"/>
        <s v="L006"/>
        <s v="L007"/>
        <s v="L008"/>
        <s v="L009"/>
        <s v="L010"/>
        <s v="L011"/>
        <s v="L012"/>
        <s v="L013"/>
        <s v="L014"/>
        <s v="L015"/>
        <s v="L016"/>
        <s v="L017"/>
        <s v="L018"/>
        <s v="L019"/>
        <s v="L020"/>
        <s v="L021"/>
        <s v="L022"/>
        <s v="L023"/>
        <s v="L024"/>
        <s v="L025"/>
        <s v="L026"/>
        <s v="L027"/>
        <s v="L028"/>
        <s v="L029"/>
        <s v="L030"/>
        <s v="L031"/>
        <s v="L032"/>
        <s v="L033"/>
        <s v="L034"/>
        <s v="L035"/>
        <s v="L036"/>
        <s v="L037"/>
        <s v="L038"/>
        <s v="L039"/>
        <s v="L040"/>
        <s v="L041"/>
        <s v="L042"/>
        <s v="L043"/>
        <s v="L044"/>
        <s v="L045"/>
        <s v="L046"/>
        <s v="L047"/>
        <s v="L048"/>
        <s v="L049"/>
        <s v="L050"/>
        <s v="L051"/>
        <s v="L052"/>
        <s v="L053"/>
        <s v="L054"/>
        <s v="L055"/>
        <s v="L056"/>
        <s v="L057"/>
        <s v="L058"/>
        <s v="L059"/>
        <s v="L060"/>
        <s v="L061"/>
        <s v="L062"/>
        <s v="L063"/>
        <s v="L064"/>
        <s v="L065"/>
        <s v="L066"/>
        <s v="L067"/>
        <s v="L068"/>
        <s v="L069"/>
        <s v="L070"/>
        <s v="L071"/>
        <s v="L072"/>
        <s v="L073"/>
        <s v="L074"/>
        <s v="L075"/>
        <s v="L076"/>
        <s v="L077"/>
        <s v="L078"/>
        <s v="L079"/>
        <s v="L080"/>
        <s v="L081"/>
        <s v="L082"/>
        <s v="L083"/>
        <s v="L084"/>
        <s v="L085"/>
        <s v="L086"/>
        <s v="L087"/>
        <s v="L088"/>
        <s v="L089"/>
        <s v="L090"/>
        <s v="L091"/>
        <s v="L092"/>
        <s v="L093"/>
        <s v="L094"/>
        <s v="L095"/>
        <s v="L096"/>
        <s v="L097"/>
        <s v="L098"/>
        <s v="L099"/>
        <s v="L100"/>
      </sharedItems>
    </cacheField>
    <cacheField name="Customer_Name" numFmtId="0">
      <sharedItems count="10">
        <s v="Amit Sharma"/>
        <s v="Anjali Mishra"/>
        <s v="Arjun Patel"/>
        <s v="Neha Gupta"/>
        <s v="Pooja Das"/>
        <s v="Priya Singh"/>
        <s v="Rahul Verma"/>
        <s v="Rohit Kumar"/>
        <s v="Sneha Roy"/>
        <s v="Vikas Singh"/>
      </sharedItems>
    </cacheField>
    <cacheField name="Loan_Type" numFmtId="0">
      <sharedItems count="4">
        <s v="Car"/>
        <s v="Education"/>
        <s v="Home"/>
        <s v="Personal"/>
      </sharedItems>
    </cacheField>
    <cacheField name="Loan_Amount" numFmtId="0">
      <sharedItems containsSemiMixedTypes="0" containsString="0" containsNumber="1" containsInteger="1" minValue="250000" maxValue="2000000" count="9">
        <n v="250000"/>
        <n v="300000"/>
        <n v="450000"/>
        <n v="500000"/>
        <n v="750000"/>
        <n v="900000"/>
        <n v="1200000"/>
        <n v="1500000"/>
        <n v="2000000"/>
      </sharedItems>
    </cacheField>
    <cacheField name="Interest_Rate" numFmtId="0">
      <sharedItems containsSemiMixedTypes="0" containsString="0" containsNumber="1" minValue="7.5" maxValue="12.5" count="8">
        <n v="7.5"/>
        <n v="8.2"/>
        <n v="8.5"/>
        <n v="9"/>
        <n v="9.5"/>
        <n v="10.2"/>
        <n v="11"/>
        <n v="12.5"/>
      </sharedItems>
    </cacheField>
    <cacheField name="Tenure_Years" numFmtId="0">
      <sharedItems containsSemiMixedTypes="0" containsString="0" containsNumber="1" containsInteger="1" minValue="3" maxValue="25" count="7">
        <n v="3"/>
        <n v="5"/>
        <n v="7"/>
        <n v="10"/>
        <n v="15"/>
        <n v="20"/>
        <n v="25"/>
      </sharedItems>
    </cacheField>
    <cacheField name="Application_Date" numFmtId="0">
      <sharedItems count="89">
        <s v="2025-01-01"/>
        <s v="2025-01-04"/>
        <s v="2025-01-05"/>
        <s v="2025-01-09"/>
        <s v="2025-01-13"/>
        <s v="2025-01-24"/>
        <s v="2025-01-25"/>
        <s v="2025-01-26"/>
        <s v="2025-01-28"/>
        <s v="2025-02-02"/>
        <s v="2025-02-10"/>
        <s v="2025-02-15"/>
        <s v="2025-02-21"/>
        <s v="2025-02-22"/>
        <s v="2025-02-27"/>
        <s v="2025-02-28"/>
        <s v="2025-03-12"/>
        <s v="2025-03-13"/>
        <s v="2025-03-14"/>
        <s v="2025-03-18"/>
        <s v="2025-03-21"/>
        <s v="2025-03-23"/>
        <s v="2025-03-26"/>
        <s v="2025-04-02"/>
        <s v="2025-04-05"/>
        <s v="2025-04-11"/>
        <s v="2025-04-15"/>
        <s v="2025-04-18"/>
        <s v="2025-04-21"/>
        <s v="2025-04-25"/>
        <s v="2025-04-27"/>
        <s v="2025-05-01"/>
        <s v="2025-05-03"/>
        <s v="2025-05-07"/>
        <s v="2025-05-09"/>
        <s v="2025-05-11"/>
        <s v="2025-05-17"/>
        <s v="2025-05-22"/>
        <s v="2025-05-23"/>
        <s v="2025-05-27"/>
        <s v="2025-06-01"/>
        <s v="2025-06-04"/>
        <s v="2025-06-06"/>
        <s v="2025-06-09"/>
        <s v="2025-06-11"/>
        <s v="2025-06-12"/>
        <s v="2025-06-13"/>
        <s v="2025-06-14"/>
        <s v="2025-06-17"/>
        <s v="2025-06-22"/>
        <s v="2025-06-25"/>
        <s v="2025-06-26"/>
        <s v="2025-07-11"/>
        <s v="2025-07-14"/>
        <s v="2025-07-18"/>
        <s v="2025-07-22"/>
        <s v="2025-07-24"/>
        <s v="2025-08-06"/>
        <s v="2025-08-08"/>
        <s v="2025-08-10"/>
        <s v="2025-08-11"/>
        <s v="2025-08-14"/>
        <s v="2025-09-05"/>
        <s v="2025-09-06"/>
        <s v="2025-09-11"/>
        <s v="2025-09-14"/>
        <s v="2025-09-17"/>
        <s v="2025-09-21"/>
        <s v="2025-09-24"/>
        <s v="2025-09-28"/>
        <s v="2025-10-02"/>
        <s v="2025-10-08"/>
        <s v="2025-10-11"/>
        <s v="2025-10-13"/>
        <s v="2025-10-15"/>
        <s v="2025-10-16"/>
        <s v="2025-10-19"/>
        <s v="2025-10-20"/>
        <s v="2025-10-21"/>
        <s v="2025-10-22"/>
        <s v="2025-11-01"/>
        <s v="2025-11-02"/>
        <s v="2025-11-05"/>
        <s v="2025-11-22"/>
        <s v="2025-11-28"/>
        <s v="2025-12-02"/>
        <s v="2025-12-08"/>
        <s v="2025-12-21"/>
        <s v="2025-12-24"/>
      </sharedItems>
    </cacheField>
    <cacheField name="Branch" numFmtId="0">
      <sharedItems count="6">
        <s v="Delhi"/>
        <s v="Jaipur"/>
        <s v="Kolkata"/>
        <s v="Lucknow"/>
        <s v="Mumbai"/>
        <s v="Pune"/>
      </sharedItems>
    </cacheField>
    <cacheField name="EMI" numFmtId="0">
      <sharedItems containsSemiMixedTypes="0" containsString="0" containsNumber="1" minValue="2013.98" maxValue="63599.47" count="94">
        <n v="2013.98"/>
        <n v="2415.68"/>
        <n v="2416.78"/>
        <n v="2445.77"/>
        <n v="2781.04"/>
        <n v="2796.39"/>
        <n v="2841.49"/>
        <n v="2954.22"/>
        <n v="2967.54"/>
        <n v="3099.64"/>
        <n v="3234.94"/>
        <n v="3671.61"/>
        <n v="3820.18"/>
        <n v="3925.56"/>
        <n v="4022.27"/>
        <n v="4194.59"/>
        <n v="4410.51"/>
        <n v="4480.31"/>
        <n v="4614.19"/>
        <n v="4903.19"/>
        <n v="4923.7"/>
        <n v="5112.63"/>
        <n v="5160.94"/>
        <n v="5336.4"/>
        <n v="5546.35"/>
        <n v="5624.48"/>
        <n v="5700.41"/>
        <n v="6300.56"/>
        <n v="6508.67"/>
        <n v="6902.22"/>
        <n v="6921.28"/>
        <n v="6952.59"/>
        <n v="6990.98"/>
        <n v="7250.34"/>
        <n v="7318.81"/>
        <n v="7350.85"/>
        <n v="7354.79"/>
        <n v="7552.77"/>
        <n v="7607"/>
        <n v="7640.37"/>
        <n v="7741.41"/>
        <n v="7857.18"/>
        <n v="7891.88"/>
        <n v="8064.56"/>
        <n v="8097.53"/>
        <n v="8171.99"/>
        <n v="8561.22"/>
        <n v="8804.79"/>
        <n v="8902.63"/>
        <n v="9331.87"/>
        <n v="9667.12"/>
        <n v="9708.35"/>
        <n v="10258.27"/>
        <n v="11158.71"/>
        <n v="11645.78"/>
        <n v="11776.68"/>
        <n v="11993.47"/>
        <n v="12397.5"/>
        <n v="13084.25"/>
        <n v="13105.45"/>
        <n v="13633.69"/>
        <n v="14686.44"/>
        <n v="14701.7"/>
        <n v="14878.28"/>
        <n v="15034.24"/>
        <n v="15387.4"/>
        <n v="15568.77"/>
        <n v="16355.31"/>
        <n v="16726.81"/>
        <n v="17356.46"/>
        <n v="18335.02"/>
        <n v="19211.03"/>
        <n v="20643.77"/>
        <n v="20884.49"/>
        <n v="21807.08"/>
        <n v="23007.41"/>
        <n v="23571.53"/>
        <n v="24045.54"/>
        <n v="24477.4"/>
        <n v="24650.44"/>
        <n v="25057.06"/>
        <n v="26881.86"/>
        <n v="28410.78"/>
        <n v="28829.65"/>
        <n v="29275.23"/>
        <n v="30108.26"/>
        <n v="31372.09"/>
        <n v="32613.63"/>
        <n v="33409.41"/>
        <n v="37714.45"/>
        <n v="47143.07"/>
        <n v="48541.75"/>
        <n v="50180.44"/>
        <n v="63599.47"/>
      </sharedItems>
    </cacheField>
    <cacheField name="Total_Interest" numFmtId="0">
      <sharedItems containsSemiMixedTypes="0" containsString="0" containsNumber="1" minValue="32858.4" maxValue="4542124.82" count="94">
        <n v="32858.4"/>
        <n v="34107.84"/>
        <n v="35947.16"/>
        <n v="49500.61"/>
        <n v="70183.8"/>
        <n v="78033.5"/>
        <n v="87469.07"/>
        <n v="87870.64"/>
        <n v="98575.21"/>
        <n v="102165.26"/>
        <n v="106105.31"/>
        <n v="111868.34"/>
        <n v="115495.94"/>
        <n v="121957.07"/>
        <n v="122788.21"/>
        <n v="126346.01"/>
        <n v="129786.83"/>
        <n v="137867.57"/>
        <n v="138192.67"/>
        <n v="140593.11"/>
        <n v="157720.33"/>
        <n v="167802.51"/>
        <n v="173243.91"/>
        <n v="183897.47"/>
        <n v="184125.99"/>
        <n v="186447.23"/>
        <n v="197150.41"/>
        <n v="200101.31"/>
        <n v="200586.67"/>
        <n v="219142.33"/>
        <n v="227422.81"/>
        <n v="231759.36"/>
        <n v="233355.92"/>
        <n v="234049.18"/>
        <n v="242732.3"/>
        <n v="247503.05"/>
        <n v="252661.68"/>
        <n v="261468.62"/>
        <n v="280027.1"/>
        <n v="289580.75"/>
        <n v="306495.78"/>
        <n v="318315.92"/>
        <n v="336985.87"/>
        <n v="362875.77"/>
        <n v="371134.46"/>
        <n v="378257.01"/>
        <n v="386265.6"/>
        <n v="424704.38"/>
        <n v="432622.76"/>
        <n v="439045.44"/>
        <n v="456818.08"/>
        <n v="466844.3"/>
        <n v="497493.62"/>
        <n v="501466.69"/>
        <n v="539215.88"/>
        <n v="548342.89"/>
        <n v="556701.68"/>
        <n v="562372.44"/>
        <n v="585393.92"/>
        <n v="587700.12"/>
        <n v="604792.95"/>
        <n v="619259.89"/>
        <n v="635255.31"/>
        <n v="677667.7"/>
        <n v="738626.07"/>
        <n v="758076.04"/>
        <n v="777031.79"/>
        <n v="806390.6"/>
        <n v="812081.82"/>
        <n v="840081.3"/>
        <n v="873152.65"/>
        <n v="884256.1"/>
        <n v="927836.14"/>
        <n v="933688.6"/>
        <n v="937287.4"/>
        <n v="1043408.06"/>
        <n v="1107939.11"/>
        <n v="1120108.4"/>
        <n v="1213149.14"/>
        <n v="1326384.14"/>
        <n v="1365830.18"/>
        <n v="1455254.42"/>
        <n v="1513028.05"/>
        <n v="1759208.86"/>
        <n v="2033003.1"/>
        <n v="2072084.78"/>
        <n v="2165551.52"/>
        <n v="2431634.97"/>
        <n v="2437079.5"/>
        <n v="2725274.89"/>
        <n v="2910508.85"/>
        <n v="2954504.28"/>
        <n v="3406593.62"/>
        <n v="4542124.82"/>
      </sharedItems>
    </cacheField>
    <cacheField name="Total_Payment" numFmtId="0">
      <sharedItems containsSemiMixedTypes="0" containsString="0" containsNumber="1" minValue="282858.4" maxValue="6542124.82" count="94">
        <n v="282858.4"/>
        <n v="284107.84"/>
        <n v="320183.8"/>
        <n v="335947.16"/>
        <n v="337469.07"/>
        <n v="337870.64"/>
        <n v="349500.61"/>
        <n v="356105.31"/>
        <n v="371957.07"/>
        <n v="376346.01"/>
        <n v="378033.5"/>
        <n v="388192.67"/>
        <n v="411868.34"/>
        <n v="440593.11"/>
        <n v="483355.92"/>
        <n v="500586.67"/>
        <n v="511468.62"/>
        <n v="531759.36"/>
        <n v="579786.83"/>
        <n v="580027.1"/>
        <n v="586985.87"/>
        <n v="602165.26"/>
        <n v="615495.94"/>
        <n v="617802.51"/>
        <n v="671134.46"/>
        <n v="677422.81"/>
        <n v="684049.18"/>
        <n v="686447.23"/>
        <n v="719142.33"/>
        <n v="724704.38"/>
        <n v="848575.21"/>
        <n v="878257.01"/>
        <n v="886265.6"/>
        <n v="916844.3"/>
        <n v="923243.91"/>
        <n v="934125.99"/>
        <n v="998342.89"/>
        <n v="1006701.68"/>
        <n v="1022788.21"/>
        <n v="1037867.57"/>
        <n v="1068315.92"/>
        <n v="1083897.47"/>
        <n v="1100101.31"/>
        <n v="1152661.68"/>
        <n v="1177667.7"/>
        <n v="1227031.79"/>
        <n v="1238626.07"/>
        <n v="1251466.69"/>
        <n v="1262875.77"/>
        <n v="1323152.65"/>
        <n v="1339045.44"/>
        <n v="1357720.33"/>
        <n v="1369259.89"/>
        <n v="1384256.1"/>
        <n v="1397493.62"/>
        <n v="1439215.88"/>
        <n v="1442732.3"/>
        <n v="1487700.12"/>
        <n v="1562081.82"/>
        <n v="1677836.14"/>
        <n v="1697150.41"/>
        <n v="1740081.3"/>
        <n v="1747503.05"/>
        <n v="1762372.44"/>
        <n v="1785393.92"/>
        <n v="1806495.78"/>
        <n v="1833688.6"/>
        <n v="1857939.11"/>
        <n v="1932622.76"/>
        <n v="1943408.06"/>
        <n v="1956818.08"/>
        <n v="2076384.14"/>
        <n v="2104792.95"/>
        <n v="2113149.14"/>
        <n v="2205254.42"/>
        <n v="2258076.04"/>
        <n v="2265830.18"/>
        <n v="2289580.75"/>
        <n v="2320108.4"/>
        <n v="2635255.31"/>
        <n v="2806390.6"/>
        <n v="2937287.4"/>
        <n v="3272084.78"/>
        <n v="3513028.05"/>
        <n v="3533003.1"/>
        <n v="3759208.86"/>
        <n v="3925274.89"/>
        <n v="3931634.97"/>
        <n v="4165551.52"/>
        <n v="4410508.85"/>
        <n v="4437079.5"/>
        <n v="4906593.62"/>
        <n v="4954504.28"/>
        <n v="6542124.82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">
  <r>
    <x v="0"/>
    <x v="4"/>
    <x v="0"/>
    <x v="4"/>
    <x v="5"/>
    <x v="6"/>
    <x v="34"/>
    <x v="2"/>
    <x v="30"/>
    <x v="79"/>
    <x v="71"/>
  </r>
  <r>
    <x v="1"/>
    <x v="6"/>
    <x v="2"/>
    <x v="6"/>
    <x v="0"/>
    <x v="1"/>
    <x v="70"/>
    <x v="4"/>
    <x v="77"/>
    <x v="34"/>
    <x v="56"/>
  </r>
  <r>
    <x v="2"/>
    <x v="2"/>
    <x v="2"/>
    <x v="0"/>
    <x v="4"/>
    <x v="3"/>
    <x v="23"/>
    <x v="5"/>
    <x v="10"/>
    <x v="18"/>
    <x v="11"/>
  </r>
  <r>
    <x v="3"/>
    <x v="2"/>
    <x v="0"/>
    <x v="0"/>
    <x v="7"/>
    <x v="2"/>
    <x v="42"/>
    <x v="1"/>
    <x v="17"/>
    <x v="15"/>
    <x v="9"/>
  </r>
  <r>
    <x v="4"/>
    <x v="6"/>
    <x v="3"/>
    <x v="8"/>
    <x v="1"/>
    <x v="2"/>
    <x v="48"/>
    <x v="5"/>
    <x v="86"/>
    <x v="62"/>
    <x v="79"/>
  </r>
  <r>
    <x v="5"/>
    <x v="0"/>
    <x v="1"/>
    <x v="0"/>
    <x v="2"/>
    <x v="0"/>
    <x v="47"/>
    <x v="0"/>
    <x v="42"/>
    <x v="1"/>
    <x v="1"/>
  </r>
  <r>
    <x v="6"/>
    <x v="4"/>
    <x v="2"/>
    <x v="2"/>
    <x v="4"/>
    <x v="5"/>
    <x v="18"/>
    <x v="1"/>
    <x v="15"/>
    <x v="56"/>
    <x v="37"/>
  </r>
  <r>
    <x v="7"/>
    <x v="7"/>
    <x v="2"/>
    <x v="5"/>
    <x v="5"/>
    <x v="5"/>
    <x v="61"/>
    <x v="4"/>
    <x v="47"/>
    <x v="78"/>
    <x v="73"/>
  </r>
  <r>
    <x v="8"/>
    <x v="3"/>
    <x v="3"/>
    <x v="2"/>
    <x v="4"/>
    <x v="2"/>
    <x v="14"/>
    <x v="2"/>
    <x v="36"/>
    <x v="21"/>
    <x v="23"/>
  </r>
  <r>
    <x v="9"/>
    <x v="2"/>
    <x v="2"/>
    <x v="5"/>
    <x v="2"/>
    <x v="3"/>
    <x v="0"/>
    <x v="4"/>
    <x v="53"/>
    <x v="49"/>
    <x v="50"/>
  </r>
  <r>
    <x v="10"/>
    <x v="7"/>
    <x v="2"/>
    <x v="8"/>
    <x v="6"/>
    <x v="5"/>
    <x v="5"/>
    <x v="0"/>
    <x v="72"/>
    <x v="91"/>
    <x v="92"/>
  </r>
  <r>
    <x v="11"/>
    <x v="1"/>
    <x v="0"/>
    <x v="4"/>
    <x v="6"/>
    <x v="6"/>
    <x v="74"/>
    <x v="4"/>
    <x v="35"/>
    <x v="81"/>
    <x v="74"/>
  </r>
  <r>
    <x v="12"/>
    <x v="3"/>
    <x v="2"/>
    <x v="2"/>
    <x v="7"/>
    <x v="4"/>
    <x v="66"/>
    <x v="3"/>
    <x v="24"/>
    <x v="55"/>
    <x v="36"/>
  </r>
  <r>
    <x v="13"/>
    <x v="4"/>
    <x v="1"/>
    <x v="1"/>
    <x v="0"/>
    <x v="0"/>
    <x v="53"/>
    <x v="3"/>
    <x v="49"/>
    <x v="2"/>
    <x v="3"/>
  </r>
  <r>
    <x v="14"/>
    <x v="5"/>
    <x v="0"/>
    <x v="3"/>
    <x v="2"/>
    <x v="4"/>
    <x v="28"/>
    <x v="1"/>
    <x v="20"/>
    <x v="46"/>
    <x v="32"/>
  </r>
  <r>
    <x v="15"/>
    <x v="1"/>
    <x v="3"/>
    <x v="1"/>
    <x v="2"/>
    <x v="4"/>
    <x v="25"/>
    <x v="1"/>
    <x v="7"/>
    <x v="31"/>
    <x v="17"/>
  </r>
  <r>
    <x v="16"/>
    <x v="6"/>
    <x v="2"/>
    <x v="1"/>
    <x v="4"/>
    <x v="2"/>
    <x v="72"/>
    <x v="4"/>
    <x v="19"/>
    <x v="11"/>
    <x v="12"/>
  </r>
  <r>
    <x v="17"/>
    <x v="0"/>
    <x v="2"/>
    <x v="6"/>
    <x v="0"/>
    <x v="1"/>
    <x v="41"/>
    <x v="5"/>
    <x v="77"/>
    <x v="34"/>
    <x v="56"/>
  </r>
  <r>
    <x v="18"/>
    <x v="4"/>
    <x v="0"/>
    <x v="4"/>
    <x v="2"/>
    <x v="5"/>
    <x v="57"/>
    <x v="3"/>
    <x v="28"/>
    <x v="68"/>
    <x v="58"/>
  </r>
  <r>
    <x v="19"/>
    <x v="3"/>
    <x v="1"/>
    <x v="5"/>
    <x v="5"/>
    <x v="3"/>
    <x v="58"/>
    <x v="4"/>
    <x v="56"/>
    <x v="54"/>
    <x v="55"/>
  </r>
  <r>
    <x v="20"/>
    <x v="6"/>
    <x v="3"/>
    <x v="0"/>
    <x v="0"/>
    <x v="5"/>
    <x v="38"/>
    <x v="5"/>
    <x v="0"/>
    <x v="32"/>
    <x v="14"/>
  </r>
  <r>
    <x v="21"/>
    <x v="7"/>
    <x v="2"/>
    <x v="2"/>
    <x v="7"/>
    <x v="5"/>
    <x v="35"/>
    <x v="0"/>
    <x v="21"/>
    <x v="66"/>
    <x v="45"/>
  </r>
  <r>
    <x v="22"/>
    <x v="9"/>
    <x v="2"/>
    <x v="7"/>
    <x v="6"/>
    <x v="1"/>
    <x v="8"/>
    <x v="0"/>
    <x v="87"/>
    <x v="50"/>
    <x v="70"/>
  </r>
  <r>
    <x v="23"/>
    <x v="3"/>
    <x v="3"/>
    <x v="3"/>
    <x v="6"/>
    <x v="2"/>
    <x v="85"/>
    <x v="1"/>
    <x v="46"/>
    <x v="29"/>
    <x v="28"/>
  </r>
  <r>
    <x v="24"/>
    <x v="3"/>
    <x v="1"/>
    <x v="3"/>
    <x v="6"/>
    <x v="5"/>
    <x v="71"/>
    <x v="5"/>
    <x v="22"/>
    <x v="64"/>
    <x v="46"/>
  </r>
  <r>
    <x v="25"/>
    <x v="3"/>
    <x v="1"/>
    <x v="4"/>
    <x v="6"/>
    <x v="5"/>
    <x v="7"/>
    <x v="4"/>
    <x v="40"/>
    <x v="76"/>
    <x v="67"/>
  </r>
  <r>
    <x v="26"/>
    <x v="4"/>
    <x v="2"/>
    <x v="7"/>
    <x v="7"/>
    <x v="2"/>
    <x v="40"/>
    <x v="0"/>
    <x v="81"/>
    <x v="65"/>
    <x v="75"/>
  </r>
  <r>
    <x v="27"/>
    <x v="0"/>
    <x v="2"/>
    <x v="5"/>
    <x v="2"/>
    <x v="3"/>
    <x v="62"/>
    <x v="2"/>
    <x v="53"/>
    <x v="49"/>
    <x v="50"/>
  </r>
  <r>
    <x v="28"/>
    <x v="0"/>
    <x v="1"/>
    <x v="3"/>
    <x v="4"/>
    <x v="2"/>
    <x v="7"/>
    <x v="0"/>
    <x v="45"/>
    <x v="25"/>
    <x v="27"/>
  </r>
  <r>
    <x v="29"/>
    <x v="4"/>
    <x v="0"/>
    <x v="5"/>
    <x v="3"/>
    <x v="6"/>
    <x v="16"/>
    <x v="0"/>
    <x v="37"/>
    <x v="80"/>
    <x v="76"/>
  </r>
  <r>
    <x v="30"/>
    <x v="6"/>
    <x v="0"/>
    <x v="7"/>
    <x v="7"/>
    <x v="0"/>
    <x v="67"/>
    <x v="5"/>
    <x v="92"/>
    <x v="40"/>
    <x v="65"/>
  </r>
  <r>
    <x v="31"/>
    <x v="9"/>
    <x v="1"/>
    <x v="2"/>
    <x v="3"/>
    <x v="3"/>
    <x v="52"/>
    <x v="0"/>
    <x v="26"/>
    <x v="33"/>
    <x v="26"/>
  </r>
  <r>
    <x v="32"/>
    <x v="7"/>
    <x v="2"/>
    <x v="3"/>
    <x v="1"/>
    <x v="6"/>
    <x v="64"/>
    <x v="1"/>
    <x v="13"/>
    <x v="63"/>
    <x v="44"/>
  </r>
  <r>
    <x v="33"/>
    <x v="5"/>
    <x v="0"/>
    <x v="5"/>
    <x v="4"/>
    <x v="3"/>
    <x v="11"/>
    <x v="3"/>
    <x v="54"/>
    <x v="52"/>
    <x v="54"/>
  </r>
  <r>
    <x v="34"/>
    <x v="9"/>
    <x v="2"/>
    <x v="0"/>
    <x v="5"/>
    <x v="5"/>
    <x v="24"/>
    <x v="2"/>
    <x v="3"/>
    <x v="42"/>
    <x v="20"/>
  </r>
  <r>
    <x v="35"/>
    <x v="9"/>
    <x v="3"/>
    <x v="1"/>
    <x v="4"/>
    <x v="1"/>
    <x v="14"/>
    <x v="5"/>
    <x v="27"/>
    <x v="5"/>
    <x v="10"/>
  </r>
  <r>
    <x v="36"/>
    <x v="8"/>
    <x v="1"/>
    <x v="0"/>
    <x v="6"/>
    <x v="4"/>
    <x v="21"/>
    <x v="4"/>
    <x v="6"/>
    <x v="37"/>
    <x v="16"/>
  </r>
  <r>
    <x v="37"/>
    <x v="3"/>
    <x v="1"/>
    <x v="5"/>
    <x v="6"/>
    <x v="3"/>
    <x v="15"/>
    <x v="3"/>
    <x v="57"/>
    <x v="59"/>
    <x v="57"/>
  </r>
  <r>
    <x v="38"/>
    <x v="2"/>
    <x v="3"/>
    <x v="4"/>
    <x v="4"/>
    <x v="5"/>
    <x v="65"/>
    <x v="2"/>
    <x v="32"/>
    <x v="72"/>
    <x v="59"/>
  </r>
  <r>
    <x v="39"/>
    <x v="3"/>
    <x v="3"/>
    <x v="1"/>
    <x v="0"/>
    <x v="4"/>
    <x v="9"/>
    <x v="0"/>
    <x v="4"/>
    <x v="28"/>
    <x v="15"/>
  </r>
  <r>
    <x v="40"/>
    <x v="0"/>
    <x v="0"/>
    <x v="6"/>
    <x v="7"/>
    <x v="6"/>
    <x v="82"/>
    <x v="1"/>
    <x v="58"/>
    <x v="89"/>
    <x v="86"/>
  </r>
  <r>
    <x v="41"/>
    <x v="6"/>
    <x v="3"/>
    <x v="4"/>
    <x v="3"/>
    <x v="4"/>
    <x v="32"/>
    <x v="2"/>
    <x v="38"/>
    <x v="61"/>
    <x v="52"/>
  </r>
  <r>
    <x v="42"/>
    <x v="5"/>
    <x v="1"/>
    <x v="5"/>
    <x v="0"/>
    <x v="5"/>
    <x v="12"/>
    <x v="1"/>
    <x v="33"/>
    <x v="69"/>
    <x v="61"/>
  </r>
  <r>
    <x v="43"/>
    <x v="1"/>
    <x v="2"/>
    <x v="0"/>
    <x v="0"/>
    <x v="3"/>
    <x v="26"/>
    <x v="5"/>
    <x v="8"/>
    <x v="10"/>
    <x v="7"/>
  </r>
  <r>
    <x v="44"/>
    <x v="5"/>
    <x v="1"/>
    <x v="3"/>
    <x v="6"/>
    <x v="2"/>
    <x v="80"/>
    <x v="4"/>
    <x v="46"/>
    <x v="29"/>
    <x v="28"/>
  </r>
  <r>
    <x v="45"/>
    <x v="8"/>
    <x v="2"/>
    <x v="6"/>
    <x v="1"/>
    <x v="0"/>
    <x v="4"/>
    <x v="5"/>
    <x v="89"/>
    <x v="20"/>
    <x v="51"/>
  </r>
  <r>
    <x v="46"/>
    <x v="2"/>
    <x v="0"/>
    <x v="5"/>
    <x v="7"/>
    <x v="0"/>
    <x v="6"/>
    <x v="4"/>
    <x v="85"/>
    <x v="23"/>
    <x v="41"/>
  </r>
  <r>
    <x v="47"/>
    <x v="6"/>
    <x v="3"/>
    <x v="2"/>
    <x v="7"/>
    <x v="2"/>
    <x v="45"/>
    <x v="1"/>
    <x v="43"/>
    <x v="30"/>
    <x v="25"/>
  </r>
  <r>
    <x v="48"/>
    <x v="1"/>
    <x v="2"/>
    <x v="4"/>
    <x v="0"/>
    <x v="3"/>
    <x v="54"/>
    <x v="0"/>
    <x v="48"/>
    <x v="41"/>
    <x v="40"/>
  </r>
  <r>
    <x v="49"/>
    <x v="8"/>
    <x v="2"/>
    <x v="3"/>
    <x v="7"/>
    <x v="3"/>
    <x v="73"/>
    <x v="0"/>
    <x v="34"/>
    <x v="45"/>
    <x v="31"/>
  </r>
  <r>
    <x v="50"/>
    <x v="8"/>
    <x v="0"/>
    <x v="8"/>
    <x v="4"/>
    <x v="4"/>
    <x v="29"/>
    <x v="5"/>
    <x v="73"/>
    <x v="83"/>
    <x v="85"/>
  </r>
  <r>
    <x v="51"/>
    <x v="5"/>
    <x v="1"/>
    <x v="6"/>
    <x v="7"/>
    <x v="5"/>
    <x v="55"/>
    <x v="3"/>
    <x v="60"/>
    <x v="85"/>
    <x v="82"/>
  </r>
  <r>
    <x v="52"/>
    <x v="1"/>
    <x v="3"/>
    <x v="8"/>
    <x v="3"/>
    <x v="0"/>
    <x v="32"/>
    <x v="5"/>
    <x v="93"/>
    <x v="39"/>
    <x v="77"/>
  </r>
  <r>
    <x v="53"/>
    <x v="3"/>
    <x v="3"/>
    <x v="1"/>
    <x v="4"/>
    <x v="5"/>
    <x v="84"/>
    <x v="3"/>
    <x v="5"/>
    <x v="44"/>
    <x v="24"/>
  </r>
  <r>
    <x v="54"/>
    <x v="1"/>
    <x v="2"/>
    <x v="5"/>
    <x v="1"/>
    <x v="5"/>
    <x v="63"/>
    <x v="3"/>
    <x v="39"/>
    <x v="73"/>
    <x v="66"/>
  </r>
  <r>
    <x v="55"/>
    <x v="8"/>
    <x v="2"/>
    <x v="8"/>
    <x v="7"/>
    <x v="4"/>
    <x v="27"/>
    <x v="2"/>
    <x v="79"/>
    <x v="88"/>
    <x v="90"/>
  </r>
  <r>
    <x v="56"/>
    <x v="2"/>
    <x v="2"/>
    <x v="2"/>
    <x v="0"/>
    <x v="2"/>
    <x v="50"/>
    <x v="4"/>
    <x v="29"/>
    <x v="16"/>
    <x v="18"/>
  </r>
  <r>
    <x v="57"/>
    <x v="1"/>
    <x v="1"/>
    <x v="0"/>
    <x v="3"/>
    <x v="2"/>
    <x v="2"/>
    <x v="3"/>
    <x v="14"/>
    <x v="7"/>
    <x v="5"/>
  </r>
  <r>
    <x v="58"/>
    <x v="5"/>
    <x v="2"/>
    <x v="4"/>
    <x v="0"/>
    <x v="4"/>
    <x v="42"/>
    <x v="2"/>
    <x v="31"/>
    <x v="53"/>
    <x v="47"/>
  </r>
  <r>
    <x v="59"/>
    <x v="7"/>
    <x v="2"/>
    <x v="5"/>
    <x v="5"/>
    <x v="1"/>
    <x v="69"/>
    <x v="3"/>
    <x v="71"/>
    <x v="36"/>
    <x v="43"/>
  </r>
  <r>
    <x v="60"/>
    <x v="9"/>
    <x v="2"/>
    <x v="3"/>
    <x v="2"/>
    <x v="1"/>
    <x v="77"/>
    <x v="2"/>
    <x v="52"/>
    <x v="12"/>
    <x v="22"/>
  </r>
  <r>
    <x v="61"/>
    <x v="8"/>
    <x v="3"/>
    <x v="7"/>
    <x v="1"/>
    <x v="0"/>
    <x v="33"/>
    <x v="0"/>
    <x v="90"/>
    <x v="26"/>
    <x v="60"/>
  </r>
  <r>
    <x v="62"/>
    <x v="3"/>
    <x v="1"/>
    <x v="7"/>
    <x v="0"/>
    <x v="2"/>
    <x v="75"/>
    <x v="0"/>
    <x v="75"/>
    <x v="48"/>
    <x v="68"/>
  </r>
  <r>
    <x v="63"/>
    <x v="8"/>
    <x v="1"/>
    <x v="4"/>
    <x v="0"/>
    <x v="3"/>
    <x v="36"/>
    <x v="3"/>
    <x v="48"/>
    <x v="41"/>
    <x v="40"/>
  </r>
  <r>
    <x v="64"/>
    <x v="6"/>
    <x v="1"/>
    <x v="8"/>
    <x v="5"/>
    <x v="2"/>
    <x v="59"/>
    <x v="0"/>
    <x v="88"/>
    <x v="67"/>
    <x v="80"/>
  </r>
  <r>
    <x v="65"/>
    <x v="8"/>
    <x v="2"/>
    <x v="7"/>
    <x v="4"/>
    <x v="6"/>
    <x v="86"/>
    <x v="2"/>
    <x v="59"/>
    <x v="87"/>
    <x v="87"/>
  </r>
  <r>
    <x v="66"/>
    <x v="9"/>
    <x v="0"/>
    <x v="8"/>
    <x v="1"/>
    <x v="3"/>
    <x v="84"/>
    <x v="5"/>
    <x v="78"/>
    <x v="74"/>
    <x v="81"/>
  </r>
  <r>
    <x v="67"/>
    <x v="8"/>
    <x v="1"/>
    <x v="8"/>
    <x v="7"/>
    <x v="3"/>
    <x v="76"/>
    <x v="2"/>
    <x v="84"/>
    <x v="82"/>
    <x v="83"/>
  </r>
  <r>
    <x v="68"/>
    <x v="7"/>
    <x v="2"/>
    <x v="0"/>
    <x v="2"/>
    <x v="3"/>
    <x v="46"/>
    <x v="0"/>
    <x v="9"/>
    <x v="13"/>
    <x v="8"/>
  </r>
  <r>
    <x v="69"/>
    <x v="1"/>
    <x v="2"/>
    <x v="0"/>
    <x v="1"/>
    <x v="0"/>
    <x v="33"/>
    <x v="2"/>
    <x v="41"/>
    <x v="0"/>
    <x v="0"/>
  </r>
  <r>
    <x v="70"/>
    <x v="4"/>
    <x v="1"/>
    <x v="6"/>
    <x v="1"/>
    <x v="3"/>
    <x v="83"/>
    <x v="2"/>
    <x v="61"/>
    <x v="57"/>
    <x v="63"/>
  </r>
  <r>
    <x v="71"/>
    <x v="4"/>
    <x v="3"/>
    <x v="0"/>
    <x v="3"/>
    <x v="2"/>
    <x v="7"/>
    <x v="2"/>
    <x v="14"/>
    <x v="7"/>
    <x v="5"/>
  </r>
  <r>
    <x v="72"/>
    <x v="2"/>
    <x v="1"/>
    <x v="3"/>
    <x v="7"/>
    <x v="0"/>
    <x v="22"/>
    <x v="2"/>
    <x v="68"/>
    <x v="9"/>
    <x v="21"/>
  </r>
  <r>
    <x v="73"/>
    <x v="8"/>
    <x v="2"/>
    <x v="5"/>
    <x v="5"/>
    <x v="2"/>
    <x v="10"/>
    <x v="3"/>
    <x v="64"/>
    <x v="43"/>
    <x v="48"/>
  </r>
  <r>
    <x v="74"/>
    <x v="3"/>
    <x v="3"/>
    <x v="7"/>
    <x v="7"/>
    <x v="6"/>
    <x v="3"/>
    <x v="4"/>
    <x v="67"/>
    <x v="92"/>
    <x v="91"/>
  </r>
  <r>
    <x v="75"/>
    <x v="1"/>
    <x v="3"/>
    <x v="1"/>
    <x v="2"/>
    <x v="6"/>
    <x v="88"/>
    <x v="4"/>
    <x v="1"/>
    <x v="47"/>
    <x v="29"/>
  </r>
  <r>
    <x v="76"/>
    <x v="2"/>
    <x v="2"/>
    <x v="6"/>
    <x v="0"/>
    <x v="5"/>
    <x v="37"/>
    <x v="3"/>
    <x v="50"/>
    <x v="77"/>
    <x v="78"/>
  </r>
  <r>
    <x v="77"/>
    <x v="1"/>
    <x v="1"/>
    <x v="6"/>
    <x v="2"/>
    <x v="3"/>
    <x v="87"/>
    <x v="2"/>
    <x v="63"/>
    <x v="58"/>
    <x v="64"/>
  </r>
  <r>
    <x v="78"/>
    <x v="7"/>
    <x v="0"/>
    <x v="7"/>
    <x v="6"/>
    <x v="1"/>
    <x v="20"/>
    <x v="4"/>
    <x v="87"/>
    <x v="50"/>
    <x v="70"/>
  </r>
  <r>
    <x v="79"/>
    <x v="5"/>
    <x v="0"/>
    <x v="8"/>
    <x v="7"/>
    <x v="6"/>
    <x v="60"/>
    <x v="3"/>
    <x v="74"/>
    <x v="93"/>
    <x v="93"/>
  </r>
  <r>
    <x v="80"/>
    <x v="3"/>
    <x v="0"/>
    <x v="0"/>
    <x v="7"/>
    <x v="1"/>
    <x v="68"/>
    <x v="3"/>
    <x v="25"/>
    <x v="6"/>
    <x v="4"/>
  </r>
  <r>
    <x v="81"/>
    <x v="3"/>
    <x v="0"/>
    <x v="0"/>
    <x v="5"/>
    <x v="1"/>
    <x v="88"/>
    <x v="2"/>
    <x v="23"/>
    <x v="4"/>
    <x v="2"/>
  </r>
  <r>
    <x v="82"/>
    <x v="0"/>
    <x v="3"/>
    <x v="7"/>
    <x v="5"/>
    <x v="0"/>
    <x v="79"/>
    <x v="3"/>
    <x v="91"/>
    <x v="35"/>
    <x v="62"/>
  </r>
  <r>
    <x v="83"/>
    <x v="5"/>
    <x v="2"/>
    <x v="2"/>
    <x v="6"/>
    <x v="6"/>
    <x v="30"/>
    <x v="0"/>
    <x v="16"/>
    <x v="70"/>
    <x v="49"/>
  </r>
  <r>
    <x v="84"/>
    <x v="4"/>
    <x v="3"/>
    <x v="1"/>
    <x v="1"/>
    <x v="3"/>
    <x v="56"/>
    <x v="2"/>
    <x v="11"/>
    <x v="19"/>
    <x v="13"/>
  </r>
  <r>
    <x v="85"/>
    <x v="2"/>
    <x v="0"/>
    <x v="3"/>
    <x v="5"/>
    <x v="6"/>
    <x v="46"/>
    <x v="2"/>
    <x v="18"/>
    <x v="71"/>
    <x v="53"/>
  </r>
  <r>
    <x v="86"/>
    <x v="6"/>
    <x v="3"/>
    <x v="1"/>
    <x v="5"/>
    <x v="0"/>
    <x v="19"/>
    <x v="2"/>
    <x v="51"/>
    <x v="3"/>
    <x v="6"/>
  </r>
  <r>
    <x v="87"/>
    <x v="2"/>
    <x v="3"/>
    <x v="2"/>
    <x v="1"/>
    <x v="5"/>
    <x v="13"/>
    <x v="0"/>
    <x v="12"/>
    <x v="51"/>
    <x v="33"/>
  </r>
  <r>
    <x v="88"/>
    <x v="7"/>
    <x v="0"/>
    <x v="5"/>
    <x v="4"/>
    <x v="0"/>
    <x v="31"/>
    <x v="3"/>
    <x v="83"/>
    <x v="17"/>
    <x v="39"/>
  </r>
  <r>
    <x v="89"/>
    <x v="3"/>
    <x v="2"/>
    <x v="7"/>
    <x v="1"/>
    <x v="6"/>
    <x v="52"/>
    <x v="3"/>
    <x v="55"/>
    <x v="84"/>
    <x v="84"/>
  </r>
  <r>
    <x v="90"/>
    <x v="8"/>
    <x v="2"/>
    <x v="1"/>
    <x v="0"/>
    <x v="5"/>
    <x v="43"/>
    <x v="1"/>
    <x v="2"/>
    <x v="38"/>
    <x v="19"/>
  </r>
  <r>
    <x v="91"/>
    <x v="4"/>
    <x v="0"/>
    <x v="5"/>
    <x v="2"/>
    <x v="0"/>
    <x v="49"/>
    <x v="0"/>
    <x v="82"/>
    <x v="14"/>
    <x v="38"/>
  </r>
  <r>
    <x v="92"/>
    <x v="4"/>
    <x v="0"/>
    <x v="5"/>
    <x v="3"/>
    <x v="5"/>
    <x v="81"/>
    <x v="3"/>
    <x v="44"/>
    <x v="75"/>
    <x v="69"/>
  </r>
  <r>
    <x v="93"/>
    <x v="4"/>
    <x v="2"/>
    <x v="4"/>
    <x v="1"/>
    <x v="0"/>
    <x v="44"/>
    <x v="2"/>
    <x v="76"/>
    <x v="8"/>
    <x v="30"/>
  </r>
  <r>
    <x v="94"/>
    <x v="9"/>
    <x v="0"/>
    <x v="5"/>
    <x v="1"/>
    <x v="1"/>
    <x v="51"/>
    <x v="3"/>
    <x v="70"/>
    <x v="27"/>
    <x v="42"/>
  </r>
  <r>
    <x v="95"/>
    <x v="4"/>
    <x v="3"/>
    <x v="4"/>
    <x v="3"/>
    <x v="1"/>
    <x v="88"/>
    <x v="5"/>
    <x v="66"/>
    <x v="24"/>
    <x v="35"/>
  </r>
  <r>
    <x v="96"/>
    <x v="8"/>
    <x v="0"/>
    <x v="7"/>
    <x v="5"/>
    <x v="2"/>
    <x v="78"/>
    <x v="1"/>
    <x v="80"/>
    <x v="60"/>
    <x v="72"/>
  </r>
  <r>
    <x v="97"/>
    <x v="5"/>
    <x v="0"/>
    <x v="7"/>
    <x v="6"/>
    <x v="6"/>
    <x v="1"/>
    <x v="4"/>
    <x v="62"/>
    <x v="90"/>
    <x v="89"/>
  </r>
  <r>
    <x v="98"/>
    <x v="7"/>
    <x v="1"/>
    <x v="8"/>
    <x v="2"/>
    <x v="5"/>
    <x v="39"/>
    <x v="2"/>
    <x v="69"/>
    <x v="86"/>
    <x v="88"/>
  </r>
  <r>
    <x v="99"/>
    <x v="4"/>
    <x v="0"/>
    <x v="4"/>
    <x v="2"/>
    <x v="1"/>
    <x v="17"/>
    <x v="4"/>
    <x v="65"/>
    <x v="22"/>
    <x v="34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4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5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6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7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8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Table7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H5:I10" firstHeaderRow="1" firstDataRow="1" firstDataCol="1"/>
  <pivotFields count="11"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dataFields count="1">
    <dataField name="Sum of EMI" fld="8" subtotal="sum" numFmtId="16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6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D3:E10" firstHeaderRow="1" firstDataRow="1" firstDataCol="1"/>
  <pivotFields count="11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</pivotFields>
  <rowFields count="1">
    <field x="7"/>
  </rowFields>
  <dataFields count="1">
    <dataField name="Count of Loan_ID" fld="0" subtotal="count" numFmtId="164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8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K5:L10" firstHeaderRow="1" firstDataRow="1" firstDataCol="1"/>
  <pivotFields count="11"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dataFields count="1">
    <dataField name="Sum of Total_Interest" fld="9" subtotal="sum" numFmtId="164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13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G20:H25" firstHeaderRow="1" firstDataRow="1" firstDataCol="1"/>
  <pivotFields count="11"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dataFields count="1">
    <dataField name="Sum of Total_Payment" fld="10" subtotal="sum" numFmtId="164"/>
  </dataField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14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B31:C33" firstHeaderRow="1" firstDataRow="2" firstDataCol="0"/>
  <pivotFields count="11"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</pivotFields>
  <colFields count="1">
    <field x="-2"/>
  </colFields>
  <dataFields count="2">
    <dataField name="Sum of Total_Interest" fld="9" subtotal="sum" numFmtId="164"/>
    <dataField name="Sum of Loan_Amount" fld="3" subtotal="sum" numFmtId="164"/>
  </dataField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PivotTable11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19:B21" firstHeaderRow="1" firstDataRow="2" firstDataCol="0"/>
  <pivotFields count="11"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</pivotFields>
  <colFields count="1">
    <field x="-2"/>
  </colFields>
  <dataFields count="2">
    <dataField name="Sum of Tenure_Years" fld="5" subtotal="sum" numFmtId="164"/>
    <dataField name="Sum of EMI" fld="8" subtotal="sum" numFmtId="164"/>
  </dataField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:B8" firstHeaderRow="1" firstDataRow="1" firstDataCol="1"/>
  <pivotFields count="11"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dataFields count="1">
    <dataField name="Sum of Loan_Amount" fld="3" subtotal="sum" numFmtId="164"/>
  </dataFields>
  <pivotTableStyleInfo name="PivotStyleLight16" showRowHeaders="1" showColHeaders="1" showRowStripes="0" showColStripes="0" showLastColumn="1"/>
</pivotTableDefinition>
</file>

<file path=xl/pivotTables/pivotTable8.xml><?xml version="1.0" encoding="utf-8"?>
<pivotTableDefinition xmlns="http://schemas.openxmlformats.org/spreadsheetml/2006/main" name="PivotTable12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D18:E25" firstHeaderRow="1" firstDataRow="1" firstDataCol="1"/>
  <pivotFields count="11"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</pivotFields>
  <rowFields count="1">
    <field x="7"/>
  </rowFields>
  <dataFields count="1">
    <dataField name="Sum of Loan_Amount" fld="3" subtotal="sum" numFmtId="164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loan_data" displayName="loan_data" ref="A1:K101" headerRowCount="1" totalsRowCount="0" totalsRowShown="0">
  <autoFilter ref="A1:K101"/>
  <tableColumns count="11">
    <tableColumn id="1" name="Loan_ID"/>
    <tableColumn id="2" name="Customer_Name"/>
    <tableColumn id="3" name="Loan_Type"/>
    <tableColumn id="4" name="Loan_Amount"/>
    <tableColumn id="5" name="Interest_Rate"/>
    <tableColumn id="6" name="Tenure_Years"/>
    <tableColumn id="7" name="Application_Date"/>
    <tableColumn id="8" name="Branch"/>
    <tableColumn id="9" name="EMI"/>
    <tableColumn id="10" name="Total_Interest"/>
    <tableColumn id="11" name="Total_Paymen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pivotTable" Target="../pivotTables/pivotTable7.xml"/><Relationship Id="rId8" Type="http://schemas.openxmlformats.org/officeDocument/2006/relationships/pivotTable" Target="../pivotTables/pivotTable8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1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0"/>
    <col collapsed="false" customWidth="true" hidden="false" outlineLevel="0" max="3" min="3" style="1" width="16"/>
    <col collapsed="false" customWidth="true" hidden="false" outlineLevel="0" max="7" min="4" style="1" width="14"/>
    <col collapsed="false" customWidth="true" hidden="false" outlineLevel="0" max="9" min="8" style="1" width="3"/>
    <col collapsed="false" customWidth="true" hidden="false" outlineLevel="0" max="10" min="10" style="1" width="4"/>
  </cols>
  <sheetData>
    <row r="1" customFormat="false" ht="15" hidden="false" customHeight="true" outlineLevel="0" collapsed="false">
      <c r="J1" s="2" t="s">
        <v>0</v>
      </c>
    </row>
    <row r="2" customFormat="false" ht="19.5" hidden="false" customHeight="true" outlineLevel="0" collapsed="false">
      <c r="B2" s="3" t="s">
        <v>1</v>
      </c>
      <c r="C2" s="3"/>
      <c r="D2" s="3"/>
      <c r="E2" s="3"/>
      <c r="F2" s="3"/>
      <c r="G2" s="3"/>
      <c r="J2" s="4" t="str">
        <f aca="false">IF(Cleaned_Data!$B$2=$C$6,COUNTIF(Cleaned_Data!$B$2:$B$2,$C$6),"")</f>
        <v/>
      </c>
    </row>
    <row r="3" customFormat="false" ht="15" hidden="false" customHeight="true" outlineLevel="0" collapsed="false">
      <c r="B3" s="5" t="s">
        <v>2</v>
      </c>
      <c r="C3" s="5"/>
      <c r="D3" s="5"/>
      <c r="E3" s="5"/>
      <c r="F3" s="5"/>
      <c r="G3" s="5"/>
      <c r="J3" s="4" t="str">
        <f aca="false">IF(Cleaned_Data!$B$3=$C$6,COUNTIF(Cleaned_Data!$B$2:$B$3,$C$6),"")</f>
        <v/>
      </c>
    </row>
    <row r="4" customFormat="false" ht="15" hidden="false" customHeight="true" outlineLevel="0" collapsed="false">
      <c r="J4" s="4" t="str">
        <f aca="false">IF(Cleaned_Data!$B$4=$C$6,COUNTIF(Cleaned_Data!$B$2:$B$4,$C$6),"")</f>
        <v/>
      </c>
    </row>
    <row r="5" customFormat="false" ht="15" hidden="false" customHeight="true" outlineLevel="0" collapsed="false">
      <c r="B5" s="6" t="s">
        <v>3</v>
      </c>
      <c r="C5" s="6"/>
      <c r="D5" s="6"/>
      <c r="E5" s="6"/>
      <c r="F5" s="6"/>
      <c r="G5" s="6"/>
      <c r="J5" s="4" t="str">
        <f aca="false">IF(Cleaned_Data!$B$5=$C$6,COUNTIF(Cleaned_Data!$B$2:$B$5,$C$6),"")</f>
        <v/>
      </c>
    </row>
    <row r="6" customFormat="false" ht="15" hidden="false" customHeight="true" outlineLevel="0" collapsed="false">
      <c r="B6" s="7" t="s">
        <v>4</v>
      </c>
      <c r="C6" s="8"/>
      <c r="J6" s="4" t="str">
        <f aca="false">IF(Cleaned_Data!$B$6=$C$6,COUNTIF(Cleaned_Data!$B$2:$B$6,$C$6),"")</f>
        <v/>
      </c>
    </row>
    <row r="7" customFormat="false" ht="15" hidden="false" customHeight="true" outlineLevel="0" collapsed="false">
      <c r="J7" s="4" t="str">
        <f aca="false">IF(Cleaned_Data!$B$7=$C$6,COUNTIF(Cleaned_Data!$B$2:$B$7,$C$6),"")</f>
        <v/>
      </c>
    </row>
    <row r="8" customFormat="false" ht="15" hidden="false" customHeight="true" outlineLevel="0" collapsed="false">
      <c r="B8" s="9" t="s">
        <v>5</v>
      </c>
      <c r="C8" s="9" t="s">
        <v>6</v>
      </c>
      <c r="D8" s="9" t="s">
        <v>7</v>
      </c>
      <c r="E8" s="9" t="s">
        <v>8</v>
      </c>
      <c r="F8" s="9" t="s">
        <v>9</v>
      </c>
      <c r="G8" s="9" t="s">
        <v>10</v>
      </c>
      <c r="J8" s="4" t="str">
        <f aca="false">IF(Cleaned_Data!$B$8=$C$6,COUNTIF(Cleaned_Data!$B$2:$B$8,$C$6),"")</f>
        <v/>
      </c>
    </row>
    <row r="9" customFormat="false" ht="15" hidden="false" customHeight="true" outlineLevel="0" collapsed="false">
      <c r="B9" s="10" t="str">
        <f aca="false">IFERROR(INDEX(Cleaned_Data!$A:$A,MATCH(1,$J$2:$J$101,0)+1),"")</f>
        <v/>
      </c>
      <c r="C9" s="10" t="str">
        <f aca="false">IFERROR(INDEX(Cleaned_Data!$C:$C,MATCH(1,$J$2:$J$101,0)+1),"")</f>
        <v/>
      </c>
      <c r="D9" s="11" t="str">
        <f aca="false">IFERROR(INDEX(Cleaned_Data!$D:$D,MATCH(1,$J$2:$J$101,0)+1),"")</f>
        <v/>
      </c>
      <c r="E9" s="12" t="str">
        <f aca="false">IFERROR(INDEX(Cleaned_Data!$E:$E,MATCH(1,$J$2:$J$101,0)+1),"")</f>
        <v/>
      </c>
      <c r="F9" s="10" t="str">
        <f aca="false">IFERROR(INDEX(Cleaned_Data!$F:$F,MATCH(1,$J$2:$J$101,0)+1),"")</f>
        <v/>
      </c>
      <c r="G9" s="13" t="str">
        <f aca="false">IFERROR(INDEX(Cleaned_Data!$H:$H,MATCH(1,$J$2:$J$101,0)+1),"")</f>
        <v/>
      </c>
      <c r="J9" s="4" t="str">
        <f aca="false">IF(Cleaned_Data!$B$9=$C$6,COUNTIF(Cleaned_Data!$B$2:$B$9,$C$6),"")</f>
        <v/>
      </c>
    </row>
    <row r="10" customFormat="false" ht="15" hidden="false" customHeight="true" outlineLevel="0" collapsed="false">
      <c r="B10" s="14" t="str">
        <f aca="false">IFERROR(INDEX(Cleaned_Data!$A:$A,MATCH(2,$J$2:$J$101,0)+1),"")</f>
        <v/>
      </c>
      <c r="C10" s="14" t="str">
        <f aca="false">IFERROR(INDEX(Cleaned_Data!$C:$C,MATCH(2,$J$2:$J$101,0)+1),"")</f>
        <v/>
      </c>
      <c r="D10" s="15" t="str">
        <f aca="false">IFERROR(INDEX(Cleaned_Data!$D:$D,MATCH(2,$J$2:$J$101,0)+1),"")</f>
        <v/>
      </c>
      <c r="E10" s="16" t="str">
        <f aca="false">IFERROR(INDEX(Cleaned_Data!$E:$E,MATCH(2,$J$2:$J$101,0)+1),"")</f>
        <v/>
      </c>
      <c r="F10" s="14" t="str">
        <f aca="false">IFERROR(INDEX(Cleaned_Data!$F:$F,MATCH(2,$J$2:$J$101,0)+1),"")</f>
        <v/>
      </c>
      <c r="G10" s="17" t="str">
        <f aca="false">IFERROR(INDEX(Cleaned_Data!$H:$H,MATCH(2,$J$2:$J$101,0)+1),"")</f>
        <v/>
      </c>
      <c r="J10" s="4" t="str">
        <f aca="false">IF(Cleaned_Data!$B$10=$C$6,COUNTIF(Cleaned_Data!$B$2:$B$10,$C$6),"")</f>
        <v/>
      </c>
    </row>
    <row r="11" customFormat="false" ht="15" hidden="false" customHeight="true" outlineLevel="0" collapsed="false">
      <c r="B11" s="10" t="str">
        <f aca="false">IFERROR(INDEX(Cleaned_Data!$A:$A,MATCH(3,$J$2:$J$101,0)+1),"")</f>
        <v/>
      </c>
      <c r="C11" s="10" t="str">
        <f aca="false">IFERROR(INDEX(Cleaned_Data!$C:$C,MATCH(3,$J$2:$J$101,0)+1),"")</f>
        <v/>
      </c>
      <c r="D11" s="11" t="str">
        <f aca="false">IFERROR(INDEX(Cleaned_Data!$D:$D,MATCH(3,$J$2:$J$101,0)+1),"")</f>
        <v/>
      </c>
      <c r="E11" s="12" t="str">
        <f aca="false">IFERROR(INDEX(Cleaned_Data!$E:$E,MATCH(3,$J$2:$J$101,0)+1),"")</f>
        <v/>
      </c>
      <c r="F11" s="10" t="str">
        <f aca="false">IFERROR(INDEX(Cleaned_Data!$F:$F,MATCH(3,$J$2:$J$101,0)+1),"")</f>
        <v/>
      </c>
      <c r="G11" s="13" t="str">
        <f aca="false">IFERROR(INDEX(Cleaned_Data!$H:$H,MATCH(3,$J$2:$J$101,0)+1),"")</f>
        <v/>
      </c>
      <c r="J11" s="4" t="str">
        <f aca="false">IF(Cleaned_Data!$B$11=$C$6,COUNTIF(Cleaned_Data!$B$2:$B$11,$C$6),"")</f>
        <v/>
      </c>
    </row>
    <row r="12" customFormat="false" ht="15" hidden="false" customHeight="true" outlineLevel="0" collapsed="false">
      <c r="B12" s="14" t="str">
        <f aca="false">IFERROR(INDEX(Cleaned_Data!$A:$A,MATCH(4,$J$2:$J$101,0)+1),"")</f>
        <v/>
      </c>
      <c r="C12" s="14" t="str">
        <f aca="false">IFERROR(INDEX(Cleaned_Data!$C:$C,MATCH(4,$J$2:$J$101,0)+1),"")</f>
        <v/>
      </c>
      <c r="D12" s="15" t="str">
        <f aca="false">IFERROR(INDEX(Cleaned_Data!$D:$D,MATCH(4,$J$2:$J$101,0)+1),"")</f>
        <v/>
      </c>
      <c r="E12" s="16" t="str">
        <f aca="false">IFERROR(INDEX(Cleaned_Data!$E:$E,MATCH(4,$J$2:$J$101,0)+1),"")</f>
        <v/>
      </c>
      <c r="F12" s="14" t="str">
        <f aca="false">IFERROR(INDEX(Cleaned_Data!$F:$F,MATCH(4,$J$2:$J$101,0)+1),"")</f>
        <v/>
      </c>
      <c r="G12" s="17" t="str">
        <f aca="false">IFERROR(INDEX(Cleaned_Data!$H:$H,MATCH(4,$J$2:$J$101,0)+1),"")</f>
        <v/>
      </c>
      <c r="J12" s="4" t="str">
        <f aca="false">IF(Cleaned_Data!$B$12=$C$6,COUNTIF(Cleaned_Data!$B$2:$B$12,$C$6),"")</f>
        <v/>
      </c>
    </row>
    <row r="13" customFormat="false" ht="15" hidden="false" customHeight="true" outlineLevel="0" collapsed="false">
      <c r="B13" s="10" t="str">
        <f aca="false">IFERROR(INDEX(Cleaned_Data!$A:$A,MATCH(5,$J$2:$J$101,0)+1),"")</f>
        <v/>
      </c>
      <c r="C13" s="10" t="str">
        <f aca="false">IFERROR(INDEX(Cleaned_Data!$C:$C,MATCH(5,$J$2:$J$101,0)+1),"")</f>
        <v/>
      </c>
      <c r="D13" s="11" t="str">
        <f aca="false">IFERROR(INDEX(Cleaned_Data!$D:$D,MATCH(5,$J$2:$J$101,0)+1),"")</f>
        <v/>
      </c>
      <c r="E13" s="12" t="str">
        <f aca="false">IFERROR(INDEX(Cleaned_Data!$E:$E,MATCH(5,$J$2:$J$101,0)+1),"")</f>
        <v/>
      </c>
      <c r="F13" s="10" t="str">
        <f aca="false">IFERROR(INDEX(Cleaned_Data!$F:$F,MATCH(5,$J$2:$J$101,0)+1),"")</f>
        <v/>
      </c>
      <c r="G13" s="13" t="str">
        <f aca="false">IFERROR(INDEX(Cleaned_Data!$H:$H,MATCH(5,$J$2:$J$101,0)+1),"")</f>
        <v/>
      </c>
      <c r="J13" s="4" t="str">
        <f aca="false">IF(Cleaned_Data!$B$13=$C$6,COUNTIF(Cleaned_Data!$B$2:$B$13,$C$6),"")</f>
        <v/>
      </c>
    </row>
    <row r="14" customFormat="false" ht="15" hidden="false" customHeight="true" outlineLevel="0" collapsed="false">
      <c r="B14" s="14" t="str">
        <f aca="false">IFERROR(INDEX(Cleaned_Data!$A:$A,MATCH(6,$J$2:$J$101,0)+1),"")</f>
        <v/>
      </c>
      <c r="C14" s="14" t="str">
        <f aca="false">IFERROR(INDEX(Cleaned_Data!$C:$C,MATCH(6,$J$2:$J$101,0)+1),"")</f>
        <v/>
      </c>
      <c r="D14" s="15" t="str">
        <f aca="false">IFERROR(INDEX(Cleaned_Data!$D:$D,MATCH(6,$J$2:$J$101,0)+1),"")</f>
        <v/>
      </c>
      <c r="E14" s="16" t="str">
        <f aca="false">IFERROR(INDEX(Cleaned_Data!$E:$E,MATCH(6,$J$2:$J$101,0)+1),"")</f>
        <v/>
      </c>
      <c r="F14" s="14" t="str">
        <f aca="false">IFERROR(INDEX(Cleaned_Data!$F:$F,MATCH(6,$J$2:$J$101,0)+1),"")</f>
        <v/>
      </c>
      <c r="G14" s="17" t="str">
        <f aca="false">IFERROR(INDEX(Cleaned_Data!$H:$H,MATCH(6,$J$2:$J$101,0)+1),"")</f>
        <v/>
      </c>
      <c r="J14" s="4" t="str">
        <f aca="false">IF(Cleaned_Data!$B$14=$C$6,COUNTIF(Cleaned_Data!$B$2:$B$14,$C$6),"")</f>
        <v/>
      </c>
    </row>
    <row r="15" customFormat="false" ht="15" hidden="false" customHeight="true" outlineLevel="0" collapsed="false">
      <c r="B15" s="10" t="str">
        <f aca="false">IFERROR(INDEX(Cleaned_Data!$A:$A,MATCH(7,$J$2:$J$101,0)+1),"")</f>
        <v/>
      </c>
      <c r="C15" s="10" t="str">
        <f aca="false">IFERROR(INDEX(Cleaned_Data!$C:$C,MATCH(7,$J$2:$J$101,0)+1),"")</f>
        <v/>
      </c>
      <c r="D15" s="11" t="str">
        <f aca="false">IFERROR(INDEX(Cleaned_Data!$D:$D,MATCH(7,$J$2:$J$101,0)+1),"")</f>
        <v/>
      </c>
      <c r="E15" s="12" t="str">
        <f aca="false">IFERROR(INDEX(Cleaned_Data!$E:$E,MATCH(7,$J$2:$J$101,0)+1),"")</f>
        <v/>
      </c>
      <c r="F15" s="10" t="str">
        <f aca="false">IFERROR(INDEX(Cleaned_Data!$F:$F,MATCH(7,$J$2:$J$101,0)+1),"")</f>
        <v/>
      </c>
      <c r="G15" s="13" t="str">
        <f aca="false">IFERROR(INDEX(Cleaned_Data!$H:$H,MATCH(7,$J$2:$J$101,0)+1),"")</f>
        <v/>
      </c>
      <c r="J15" s="4" t="str">
        <f aca="false">IF(Cleaned_Data!$B$15=$C$6,COUNTIF(Cleaned_Data!$B$2:$B$15,$C$6),"")</f>
        <v/>
      </c>
    </row>
    <row r="16" customFormat="false" ht="15" hidden="false" customHeight="true" outlineLevel="0" collapsed="false">
      <c r="B16" s="14" t="str">
        <f aca="false">IFERROR(INDEX(Cleaned_Data!$A:$A,MATCH(8,$J$2:$J$101,0)+1),"")</f>
        <v/>
      </c>
      <c r="C16" s="14" t="str">
        <f aca="false">IFERROR(INDEX(Cleaned_Data!$C:$C,MATCH(8,$J$2:$J$101,0)+1),"")</f>
        <v/>
      </c>
      <c r="D16" s="15" t="str">
        <f aca="false">IFERROR(INDEX(Cleaned_Data!$D:$D,MATCH(8,$J$2:$J$101,0)+1),"")</f>
        <v/>
      </c>
      <c r="E16" s="16" t="str">
        <f aca="false">IFERROR(INDEX(Cleaned_Data!$E:$E,MATCH(8,$J$2:$J$101,0)+1),"")</f>
        <v/>
      </c>
      <c r="F16" s="14" t="str">
        <f aca="false">IFERROR(INDEX(Cleaned_Data!$F:$F,MATCH(8,$J$2:$J$101,0)+1),"")</f>
        <v/>
      </c>
      <c r="G16" s="17" t="str">
        <f aca="false">IFERROR(INDEX(Cleaned_Data!$H:$H,MATCH(8,$J$2:$J$101,0)+1),"")</f>
        <v/>
      </c>
      <c r="J16" s="4" t="str">
        <f aca="false">IF(Cleaned_Data!$B$16=$C$6,COUNTIF(Cleaned_Data!$B$2:$B$16,$C$6),"")</f>
        <v/>
      </c>
    </row>
    <row r="17" customFormat="false" ht="15" hidden="false" customHeight="true" outlineLevel="0" collapsed="false">
      <c r="B17" s="10" t="str">
        <f aca="false">IFERROR(INDEX(Cleaned_Data!$A:$A,MATCH(9,$J$2:$J$101,0)+1),"")</f>
        <v/>
      </c>
      <c r="C17" s="10" t="str">
        <f aca="false">IFERROR(INDEX(Cleaned_Data!$C:$C,MATCH(9,$J$2:$J$101,0)+1),"")</f>
        <v/>
      </c>
      <c r="D17" s="11" t="str">
        <f aca="false">IFERROR(INDEX(Cleaned_Data!$D:$D,MATCH(9,$J$2:$J$101,0)+1),"")</f>
        <v/>
      </c>
      <c r="E17" s="12" t="str">
        <f aca="false">IFERROR(INDEX(Cleaned_Data!$E:$E,MATCH(9,$J$2:$J$101,0)+1),"")</f>
        <v/>
      </c>
      <c r="F17" s="10" t="str">
        <f aca="false">IFERROR(INDEX(Cleaned_Data!$F:$F,MATCH(9,$J$2:$J$101,0)+1),"")</f>
        <v/>
      </c>
      <c r="G17" s="13" t="str">
        <f aca="false">IFERROR(INDEX(Cleaned_Data!$H:$H,MATCH(9,$J$2:$J$101,0)+1),"")</f>
        <v/>
      </c>
      <c r="J17" s="4" t="str">
        <f aca="false">IF(Cleaned_Data!$B$17=$C$6,COUNTIF(Cleaned_Data!$B$2:$B$17,$C$6),"")</f>
        <v/>
      </c>
    </row>
    <row r="18" customFormat="false" ht="15" hidden="false" customHeight="true" outlineLevel="0" collapsed="false">
      <c r="B18" s="14" t="str">
        <f aca="false">IFERROR(INDEX(Cleaned_Data!$A:$A,MATCH(10,$J$2:$J$101,0)+1),"")</f>
        <v/>
      </c>
      <c r="C18" s="14" t="str">
        <f aca="false">IFERROR(INDEX(Cleaned_Data!$C:$C,MATCH(10,$J$2:$J$101,0)+1),"")</f>
        <v/>
      </c>
      <c r="D18" s="15" t="str">
        <f aca="false">IFERROR(INDEX(Cleaned_Data!$D:$D,MATCH(10,$J$2:$J$101,0)+1),"")</f>
        <v/>
      </c>
      <c r="E18" s="16" t="str">
        <f aca="false">IFERROR(INDEX(Cleaned_Data!$E:$E,MATCH(10,$J$2:$J$101,0)+1),"")</f>
        <v/>
      </c>
      <c r="F18" s="14" t="str">
        <f aca="false">IFERROR(INDEX(Cleaned_Data!$F:$F,MATCH(10,$J$2:$J$101,0)+1),"")</f>
        <v/>
      </c>
      <c r="G18" s="17" t="str">
        <f aca="false">IFERROR(INDEX(Cleaned_Data!$H:$H,MATCH(10,$J$2:$J$101,0)+1),"")</f>
        <v/>
      </c>
      <c r="J18" s="4" t="str">
        <f aca="false">IF(Cleaned_Data!$B$18=$C$6,COUNTIF(Cleaned_Data!$B$2:$B$18,$C$6),"")</f>
        <v/>
      </c>
    </row>
    <row r="19" customFormat="false" ht="15" hidden="false" customHeight="true" outlineLevel="0" collapsed="false">
      <c r="B19" s="10" t="str">
        <f aca="false">IFERROR(INDEX(Cleaned_Data!$A:$A,MATCH(11,$J$2:$J$101,0)+1),"")</f>
        <v/>
      </c>
      <c r="C19" s="10" t="str">
        <f aca="false">IFERROR(INDEX(Cleaned_Data!$C:$C,MATCH(11,$J$2:$J$101,0)+1),"")</f>
        <v/>
      </c>
      <c r="D19" s="11" t="str">
        <f aca="false">IFERROR(INDEX(Cleaned_Data!$D:$D,MATCH(11,$J$2:$J$101,0)+1),"")</f>
        <v/>
      </c>
      <c r="E19" s="12" t="str">
        <f aca="false">IFERROR(INDEX(Cleaned_Data!$E:$E,MATCH(11,$J$2:$J$101,0)+1),"")</f>
        <v/>
      </c>
      <c r="F19" s="10" t="str">
        <f aca="false">IFERROR(INDEX(Cleaned_Data!$F:$F,MATCH(11,$J$2:$J$101,0)+1),"")</f>
        <v/>
      </c>
      <c r="G19" s="13" t="str">
        <f aca="false">IFERROR(INDEX(Cleaned_Data!$H:$H,MATCH(11,$J$2:$J$101,0)+1),"")</f>
        <v/>
      </c>
      <c r="J19" s="4" t="str">
        <f aca="false">IF(Cleaned_Data!$B$19=$C$6,COUNTIF(Cleaned_Data!$B$2:$B$19,$C$6),"")</f>
        <v/>
      </c>
    </row>
    <row r="20" customFormat="false" ht="15" hidden="false" customHeight="true" outlineLevel="0" collapsed="false">
      <c r="B20" s="14" t="str">
        <f aca="false">IFERROR(INDEX(Cleaned_Data!$A:$A,MATCH(12,$J$2:$J$101,0)+1),"")</f>
        <v/>
      </c>
      <c r="C20" s="14" t="str">
        <f aca="false">IFERROR(INDEX(Cleaned_Data!$C:$C,MATCH(12,$J$2:$J$101,0)+1),"")</f>
        <v/>
      </c>
      <c r="D20" s="15" t="str">
        <f aca="false">IFERROR(INDEX(Cleaned_Data!$D:$D,MATCH(12,$J$2:$J$101,0)+1),"")</f>
        <v/>
      </c>
      <c r="E20" s="16" t="str">
        <f aca="false">IFERROR(INDEX(Cleaned_Data!$E:$E,MATCH(12,$J$2:$J$101,0)+1),"")</f>
        <v/>
      </c>
      <c r="F20" s="14" t="str">
        <f aca="false">IFERROR(INDEX(Cleaned_Data!$F:$F,MATCH(12,$J$2:$J$101,0)+1),"")</f>
        <v/>
      </c>
      <c r="G20" s="17" t="str">
        <f aca="false">IFERROR(INDEX(Cleaned_Data!$H:$H,MATCH(12,$J$2:$J$101,0)+1),"")</f>
        <v/>
      </c>
      <c r="J20" s="4" t="str">
        <f aca="false">IF(Cleaned_Data!$B$20=$C$6,COUNTIF(Cleaned_Data!$B$2:$B$20,$C$6),"")</f>
        <v/>
      </c>
    </row>
    <row r="21" customFormat="false" ht="15" hidden="false" customHeight="true" outlineLevel="0" collapsed="false">
      <c r="B21" s="10" t="str">
        <f aca="false">IFERROR(INDEX(Cleaned_Data!$A:$A,MATCH(13,$J$2:$J$101,0)+1),"")</f>
        <v/>
      </c>
      <c r="C21" s="10" t="str">
        <f aca="false">IFERROR(INDEX(Cleaned_Data!$C:$C,MATCH(13,$J$2:$J$101,0)+1),"")</f>
        <v/>
      </c>
      <c r="D21" s="11" t="str">
        <f aca="false">IFERROR(INDEX(Cleaned_Data!$D:$D,MATCH(13,$J$2:$J$101,0)+1),"")</f>
        <v/>
      </c>
      <c r="E21" s="12" t="str">
        <f aca="false">IFERROR(INDEX(Cleaned_Data!$E:$E,MATCH(13,$J$2:$J$101,0)+1),"")</f>
        <v/>
      </c>
      <c r="F21" s="10" t="str">
        <f aca="false">IFERROR(INDEX(Cleaned_Data!$F:$F,MATCH(13,$J$2:$J$101,0)+1),"")</f>
        <v/>
      </c>
      <c r="G21" s="13" t="str">
        <f aca="false">IFERROR(INDEX(Cleaned_Data!$H:$H,MATCH(13,$J$2:$J$101,0)+1),"")</f>
        <v/>
      </c>
      <c r="J21" s="4" t="str">
        <f aca="false">IF(Cleaned_Data!$B$21=$C$6,COUNTIF(Cleaned_Data!$B$2:$B$21,$C$6),"")</f>
        <v/>
      </c>
    </row>
    <row r="22" customFormat="false" ht="15" hidden="false" customHeight="true" outlineLevel="0" collapsed="false">
      <c r="B22" s="14" t="str">
        <f aca="false">IFERROR(INDEX(Cleaned_Data!$A:$A,MATCH(14,$J$2:$J$101,0)+1),"")</f>
        <v/>
      </c>
      <c r="C22" s="14" t="str">
        <f aca="false">IFERROR(INDEX(Cleaned_Data!$C:$C,MATCH(14,$J$2:$J$101,0)+1),"")</f>
        <v/>
      </c>
      <c r="D22" s="15" t="str">
        <f aca="false">IFERROR(INDEX(Cleaned_Data!$D:$D,MATCH(14,$J$2:$J$101,0)+1),"")</f>
        <v/>
      </c>
      <c r="E22" s="16" t="str">
        <f aca="false">IFERROR(INDEX(Cleaned_Data!$E:$E,MATCH(14,$J$2:$J$101,0)+1),"")</f>
        <v/>
      </c>
      <c r="F22" s="14" t="str">
        <f aca="false">IFERROR(INDEX(Cleaned_Data!$F:$F,MATCH(14,$J$2:$J$101,0)+1),"")</f>
        <v/>
      </c>
      <c r="G22" s="17" t="str">
        <f aca="false">IFERROR(INDEX(Cleaned_Data!$H:$H,MATCH(14,$J$2:$J$101,0)+1),"")</f>
        <v/>
      </c>
      <c r="J22" s="4" t="str">
        <f aca="false">IF(Cleaned_Data!$B$22=$C$6,COUNTIF(Cleaned_Data!$B$2:$B$22,$C$6),"")</f>
        <v/>
      </c>
    </row>
    <row r="23" customFormat="false" ht="15" hidden="false" customHeight="true" outlineLevel="0" collapsed="false">
      <c r="J23" s="4" t="str">
        <f aca="false">IF(Cleaned_Data!$B$23=$C$6,COUNTIF(Cleaned_Data!$B$2:$B$23,$C$6),"")</f>
        <v/>
      </c>
    </row>
    <row r="24" customFormat="false" ht="15" hidden="false" customHeight="true" outlineLevel="0" collapsed="false">
      <c r="B24" s="6" t="s">
        <v>11</v>
      </c>
      <c r="C24" s="6"/>
      <c r="D24" s="6"/>
      <c r="E24" s="6"/>
      <c r="F24" s="6"/>
      <c r="G24" s="6"/>
      <c r="J24" s="4" t="str">
        <f aca="false">IF(Cleaned_Data!$B$24=$C$6,COUNTIF(Cleaned_Data!$B$2:$B$24,$C$6),"")</f>
        <v/>
      </c>
    </row>
    <row r="25" customFormat="false" ht="15" hidden="false" customHeight="true" outlineLevel="0" collapsed="false">
      <c r="B25" s="7" t="s">
        <v>12</v>
      </c>
      <c r="C25" s="8"/>
      <c r="J25" s="4" t="str">
        <f aca="false">IF(Cleaned_Data!$B$25=$C$6,COUNTIF(Cleaned_Data!$B$2:$B$25,$C$6),"")</f>
        <v/>
      </c>
    </row>
    <row r="26" customFormat="false" ht="21.75" hidden="false" customHeight="true" outlineLevel="0" collapsed="false">
      <c r="B26" s="18" t="s">
        <v>13</v>
      </c>
      <c r="C26" s="18"/>
      <c r="D26" s="18"/>
      <c r="E26" s="18"/>
      <c r="F26" s="18"/>
      <c r="G26" s="18"/>
      <c r="J26" s="4" t="str">
        <f aca="false">IF(Cleaned_Data!$B$26=$C$6,COUNTIF(Cleaned_Data!$B$2:$B$26,$C$6),"")</f>
        <v/>
      </c>
    </row>
    <row r="27" customFormat="false" ht="15" hidden="false" customHeight="true" outlineLevel="0" collapsed="false">
      <c r="J27" s="4" t="str">
        <f aca="false">IF(Cleaned_Data!$B$27=$C$6,COUNTIF(Cleaned_Data!$B$2:$B$27,$C$6),"")</f>
        <v/>
      </c>
    </row>
    <row r="28" customFormat="false" ht="15" hidden="false" customHeight="true" outlineLevel="0" collapsed="false">
      <c r="B28" s="6" t="s">
        <v>14</v>
      </c>
      <c r="C28" s="6"/>
      <c r="D28" s="6"/>
      <c r="E28" s="6"/>
      <c r="F28" s="6"/>
      <c r="G28" s="6"/>
      <c r="J28" s="4" t="str">
        <f aca="false">IF(Cleaned_Data!$B$28=$C$6,COUNTIF(Cleaned_Data!$B$2:$B$28,$C$6),"")</f>
        <v/>
      </c>
    </row>
    <row r="29" customFormat="false" ht="15" hidden="false" customHeight="true" outlineLevel="0" collapsed="false">
      <c r="B29" s="7" t="s">
        <v>15</v>
      </c>
      <c r="C29" s="19" t="n">
        <v>1000000</v>
      </c>
      <c r="J29" s="4" t="str">
        <f aca="false">IF(Cleaned_Data!$B$29=$C$6,COUNTIF(Cleaned_Data!$B$2:$B$29,$C$6),"")</f>
        <v/>
      </c>
    </row>
    <row r="30" customFormat="false" ht="15" hidden="false" customHeight="true" outlineLevel="0" collapsed="false">
      <c r="B30" s="7" t="s">
        <v>16</v>
      </c>
      <c r="C30" s="20" t="n">
        <v>0.095</v>
      </c>
      <c r="J30" s="4" t="str">
        <f aca="false">IF(Cleaned_Data!$B$30=$C$6,COUNTIF(Cleaned_Data!$B$2:$B$30,$C$6),"")</f>
        <v/>
      </c>
    </row>
    <row r="31" customFormat="false" ht="15" hidden="false" customHeight="true" outlineLevel="0" collapsed="false">
      <c r="B31" s="7" t="s">
        <v>17</v>
      </c>
      <c r="C31" s="21" t="n">
        <v>20</v>
      </c>
      <c r="J31" s="4" t="str">
        <f aca="false">IF(Cleaned_Data!$B$31=$C$6,COUNTIF(Cleaned_Data!$B$2:$B$31,$C$6),"")</f>
        <v/>
      </c>
    </row>
    <row r="32" customFormat="false" ht="15" hidden="false" customHeight="true" outlineLevel="0" collapsed="false">
      <c r="B32" s="7" t="s">
        <v>18</v>
      </c>
      <c r="C32" s="22" t="n">
        <v>46215</v>
      </c>
      <c r="J32" s="4" t="str">
        <f aca="false">IF(Cleaned_Data!$B$32=$C$6,COUNTIF(Cleaned_Data!$B$2:$B$32,$C$6),"")</f>
        <v/>
      </c>
    </row>
    <row r="33" customFormat="false" ht="15" hidden="false" customHeight="true" outlineLevel="0" collapsed="false">
      <c r="J33" s="4" t="str">
        <f aca="false">IF(Cleaned_Data!$B$33=$C$6,COUNTIF(Cleaned_Data!$B$2:$B$33,$C$6),"")</f>
        <v/>
      </c>
    </row>
    <row r="34" customFormat="false" ht="15" hidden="false" customHeight="true" outlineLevel="0" collapsed="false">
      <c r="B34" s="23" t="s">
        <v>19</v>
      </c>
      <c r="C34" s="23"/>
      <c r="D34" s="23"/>
      <c r="E34" s="23"/>
      <c r="F34" s="23"/>
      <c r="G34" s="23"/>
      <c r="J34" s="4" t="str">
        <f aca="false">IF(Cleaned_Data!$B$34=$C$6,COUNTIF(Cleaned_Data!$B$2:$B$34,$C$6),"")</f>
        <v/>
      </c>
    </row>
    <row r="35" customFormat="false" ht="15" hidden="false" customHeight="true" outlineLevel="0" collapsed="false">
      <c r="B35" s="24" t="s">
        <v>7</v>
      </c>
      <c r="C35" s="25" t="n">
        <f aca="false">IF($C25="",C29,IFERROR(INDEX(Cleaned_Data!$D:$D,MATCH($C25,Cleaned_Data!$A:$A,0)),C29))</f>
        <v>1000000</v>
      </c>
      <c r="J35" s="4" t="str">
        <f aca="false">IF(Cleaned_Data!$B$35=$C$6,COUNTIF(Cleaned_Data!$B$2:$B$35,$C$6),"")</f>
        <v/>
      </c>
    </row>
    <row r="36" customFormat="false" ht="15" hidden="false" customHeight="true" outlineLevel="0" collapsed="false">
      <c r="B36" s="24" t="s">
        <v>20</v>
      </c>
      <c r="C36" s="26" t="n">
        <f aca="false">IF($C25="",C30,IFERROR(INDEX(Cleaned_Data!$E:$E,MATCH($C25,Cleaned_Data!$A:$A,0))/100,C30))</f>
        <v>0.095</v>
      </c>
      <c r="J36" s="4" t="str">
        <f aca="false">IF(Cleaned_Data!$B$36=$C$6,COUNTIF(Cleaned_Data!$B$2:$B$36,$C$6),"")</f>
        <v/>
      </c>
    </row>
    <row r="37" customFormat="false" ht="15" hidden="false" customHeight="true" outlineLevel="0" collapsed="false">
      <c r="B37" s="24" t="s">
        <v>21</v>
      </c>
      <c r="C37" s="27" t="n">
        <f aca="false">IF($C25="",C31,IFERROR(INDEX(Cleaned_Data!$F:$F,MATCH($C25,Cleaned_Data!$A:$A,0)),C31))</f>
        <v>20</v>
      </c>
      <c r="J37" s="4" t="str">
        <f aca="false">IF(Cleaned_Data!$B$37=$C$6,COUNTIF(Cleaned_Data!$B$2:$B$37,$C$6),"")</f>
        <v/>
      </c>
    </row>
    <row r="38" customFormat="false" ht="15" hidden="false" customHeight="true" outlineLevel="0" collapsed="false">
      <c r="B38" s="24" t="s">
        <v>22</v>
      </c>
      <c r="C38" s="28" t="n">
        <f aca="false">IF($C25="",C32,IFERROR(INDEX(Cleaned_Data!$G:$G,MATCH($C25,Cleaned_Data!$A:$A,0)),C32))</f>
        <v>46215</v>
      </c>
      <c r="J38" s="4" t="str">
        <f aca="false">IF(Cleaned_Data!$B$38=$C$6,COUNTIF(Cleaned_Data!$B$2:$B$38,$C$6),"")</f>
        <v/>
      </c>
    </row>
    <row r="39" customFormat="false" ht="15" hidden="false" customHeight="true" outlineLevel="0" collapsed="false">
      <c r="J39" s="4" t="str">
        <f aca="false">IF(Cleaned_Data!$B$39=$C$6,COUNTIF(Cleaned_Data!$B$2:$B$39,$C$6),"")</f>
        <v/>
      </c>
    </row>
    <row r="40" customFormat="false" ht="15" hidden="false" customHeight="true" outlineLevel="0" collapsed="false">
      <c r="B40" s="23" t="s">
        <v>23</v>
      </c>
      <c r="C40" s="23"/>
      <c r="D40" s="23"/>
      <c r="E40" s="23"/>
      <c r="F40" s="23"/>
      <c r="G40" s="23"/>
      <c r="J40" s="4" t="str">
        <f aca="false">IF(Cleaned_Data!$B$40=$C$6,COUNTIF(Cleaned_Data!$B$2:$B$40,$C$6),"")</f>
        <v/>
      </c>
    </row>
    <row r="41" customFormat="false" ht="15" hidden="false" customHeight="true" outlineLevel="0" collapsed="false">
      <c r="B41" s="7" t="s">
        <v>24</v>
      </c>
      <c r="C41" s="29" t="n">
        <f aca="false">C36/12</f>
        <v>0.00791666666666667</v>
      </c>
      <c r="J41" s="4" t="str">
        <f aca="false">IF(Cleaned_Data!$B$41=$C$6,COUNTIF(Cleaned_Data!$B$2:$B$41,$C$6),"")</f>
        <v/>
      </c>
    </row>
    <row r="42" customFormat="false" ht="15" hidden="false" customHeight="true" outlineLevel="0" collapsed="false">
      <c r="B42" s="7" t="s">
        <v>25</v>
      </c>
      <c r="C42" s="30" t="n">
        <f aca="false">C37*12</f>
        <v>240</v>
      </c>
      <c r="J42" s="4" t="str">
        <f aca="false">IF(Cleaned_Data!$B$42=$C$6,COUNTIF(Cleaned_Data!$B$2:$B$42,$C$6),"")</f>
        <v/>
      </c>
    </row>
    <row r="43" customFormat="false" ht="15" hidden="false" customHeight="true" outlineLevel="0" collapsed="false">
      <c r="J43" s="4" t="str">
        <f aca="false">IF(Cleaned_Data!$B$43=$C$6,COUNTIF(Cleaned_Data!$B$2:$B$43,$C$6),"")</f>
        <v/>
      </c>
    </row>
    <row r="44" customFormat="false" ht="15" hidden="false" customHeight="true" outlineLevel="0" collapsed="false">
      <c r="B44" s="23" t="s">
        <v>26</v>
      </c>
      <c r="C44" s="23"/>
      <c r="D44" s="23"/>
      <c r="E44" s="23"/>
      <c r="F44" s="23"/>
      <c r="G44" s="23"/>
      <c r="J44" s="4" t="str">
        <f aca="false">IF(Cleaned_Data!$B$44=$C$6,COUNTIF(Cleaned_Data!$B$2:$B$44,$C$6),"")</f>
        <v/>
      </c>
    </row>
    <row r="45" customFormat="false" ht="15.75" hidden="false" customHeight="true" outlineLevel="0" collapsed="false">
      <c r="B45" s="24" t="s">
        <v>27</v>
      </c>
      <c r="C45" s="31" t="n">
        <f aca="false">IF(C41=0,C35/C42,C35*C41*(1+C41)^C42/((1+C41)^C42-1))</f>
        <v>9321.31187833522</v>
      </c>
      <c r="J45" s="4" t="str">
        <f aca="false">IF(Cleaned_Data!$B$45=$C$6,COUNTIF(Cleaned_Data!$B$2:$B$45,$C$6),"")</f>
        <v/>
      </c>
    </row>
    <row r="46" customFormat="false" ht="15" hidden="false" customHeight="true" outlineLevel="0" collapsed="false">
      <c r="B46" s="7" t="s">
        <v>28</v>
      </c>
      <c r="C46" s="32" t="n">
        <f aca="false">C45*C42</f>
        <v>2237114.85080045</v>
      </c>
      <c r="J46" s="4" t="str">
        <f aca="false">IF(Cleaned_Data!$B$46=$C$6,COUNTIF(Cleaned_Data!$B$2:$B$46,$C$6),"")</f>
        <v/>
      </c>
    </row>
    <row r="47" customFormat="false" ht="15" hidden="false" customHeight="true" outlineLevel="0" collapsed="false">
      <c r="B47" s="7" t="s">
        <v>29</v>
      </c>
      <c r="C47" s="32" t="n">
        <f aca="false">C46-C35</f>
        <v>1237114.85080045</v>
      </c>
      <c r="J47" s="4" t="str">
        <f aca="false">IF(Cleaned_Data!$B$47=$C$6,COUNTIF(Cleaned_Data!$B$2:$B$47,$C$6),"")</f>
        <v/>
      </c>
    </row>
    <row r="48" customFormat="false" ht="15" hidden="false" customHeight="true" outlineLevel="0" collapsed="false">
      <c r="B48" s="7" t="s">
        <v>30</v>
      </c>
      <c r="C48" s="33" t="n">
        <f aca="false">EDATE(C38,C42)</f>
        <v>53520</v>
      </c>
      <c r="J48" s="4" t="str">
        <f aca="false">IF(Cleaned_Data!$B$48=$C$6,COUNTIF(Cleaned_Data!$B$2:$B$48,$C$6),"")</f>
        <v/>
      </c>
    </row>
    <row r="49" customFormat="false" ht="15" hidden="false" customHeight="true" outlineLevel="0" collapsed="false">
      <c r="J49" s="4" t="str">
        <f aca="false">IF(Cleaned_Data!$B$49=$C$6,COUNTIF(Cleaned_Data!$B$2:$B$49,$C$6),"")</f>
        <v/>
      </c>
    </row>
    <row r="50" customFormat="false" ht="15" hidden="false" customHeight="true" outlineLevel="0" collapsed="false">
      <c r="B50" s="34" t="s">
        <v>31</v>
      </c>
      <c r="C50" s="34"/>
      <c r="D50" s="34"/>
      <c r="E50" s="34"/>
      <c r="F50" s="34"/>
      <c r="G50" s="34"/>
      <c r="J50" s="4" t="str">
        <f aca="false">IF(Cleaned_Data!$B$50=$C$6,COUNTIF(Cleaned_Data!$B$2:$B$50,$C$6),"")</f>
        <v/>
      </c>
    </row>
    <row r="51" customFormat="false" ht="15" hidden="false" customHeight="true" outlineLevel="0" collapsed="false">
      <c r="B51" s="34"/>
      <c r="C51" s="34"/>
      <c r="D51" s="34"/>
      <c r="E51" s="34"/>
      <c r="F51" s="34"/>
      <c r="G51" s="34"/>
      <c r="J51" s="4" t="str">
        <f aca="false">IF(Cleaned_Data!$B$51=$C$6,COUNTIF(Cleaned_Data!$B$2:$B$51,$C$6),"")</f>
        <v/>
      </c>
    </row>
    <row r="52" customFormat="false" ht="15" hidden="false" customHeight="true" outlineLevel="0" collapsed="false">
      <c r="B52" s="34"/>
      <c r="C52" s="34"/>
      <c r="D52" s="34"/>
      <c r="E52" s="34"/>
      <c r="F52" s="34"/>
      <c r="G52" s="34"/>
      <c r="J52" s="4" t="str">
        <f aca="false">IF(Cleaned_Data!$B$52=$C$6,COUNTIF(Cleaned_Data!$B$2:$B$52,$C$6),"")</f>
        <v/>
      </c>
    </row>
    <row r="53" customFormat="false" ht="15" hidden="false" customHeight="true" outlineLevel="0" collapsed="false">
      <c r="J53" s="4" t="str">
        <f aca="false">IF(Cleaned_Data!$B$53=$C$6,COUNTIF(Cleaned_Data!$B$2:$B$53,$C$6),"")</f>
        <v/>
      </c>
    </row>
    <row r="54" customFormat="false" ht="15" hidden="false" customHeight="true" outlineLevel="0" collapsed="false">
      <c r="J54" s="4" t="str">
        <f aca="false">IF(Cleaned_Data!$B$54=$C$6,COUNTIF(Cleaned_Data!$B$2:$B$54,$C$6),"")</f>
        <v/>
      </c>
    </row>
    <row r="55" customFormat="false" ht="15" hidden="false" customHeight="true" outlineLevel="0" collapsed="false">
      <c r="J55" s="4" t="str">
        <f aca="false">IF(Cleaned_Data!$B$55=$C$6,COUNTIF(Cleaned_Data!$B$2:$B$55,$C$6),"")</f>
        <v/>
      </c>
    </row>
    <row r="56" customFormat="false" ht="15" hidden="false" customHeight="true" outlineLevel="0" collapsed="false">
      <c r="J56" s="4" t="str">
        <f aca="false">IF(Cleaned_Data!$B$56=$C$6,COUNTIF(Cleaned_Data!$B$2:$B$56,$C$6),"")</f>
        <v/>
      </c>
    </row>
    <row r="57" customFormat="false" ht="15" hidden="false" customHeight="true" outlineLevel="0" collapsed="false">
      <c r="J57" s="4" t="str">
        <f aca="false">IF(Cleaned_Data!$B$57=$C$6,COUNTIF(Cleaned_Data!$B$2:$B$57,$C$6),"")</f>
        <v/>
      </c>
    </row>
    <row r="58" customFormat="false" ht="15" hidden="false" customHeight="true" outlineLevel="0" collapsed="false">
      <c r="J58" s="4" t="str">
        <f aca="false">IF(Cleaned_Data!$B$58=$C$6,COUNTIF(Cleaned_Data!$B$2:$B$58,$C$6),"")</f>
        <v/>
      </c>
    </row>
    <row r="59" customFormat="false" ht="15" hidden="false" customHeight="true" outlineLevel="0" collapsed="false">
      <c r="J59" s="4" t="str">
        <f aca="false">IF(Cleaned_Data!$B$59=$C$6,COUNTIF(Cleaned_Data!$B$2:$B$59,$C$6),"")</f>
        <v/>
      </c>
    </row>
    <row r="60" customFormat="false" ht="15" hidden="false" customHeight="true" outlineLevel="0" collapsed="false">
      <c r="J60" s="4" t="str">
        <f aca="false">IF(Cleaned_Data!$B$60=$C$6,COUNTIF(Cleaned_Data!$B$2:$B$60,$C$6),"")</f>
        <v/>
      </c>
    </row>
    <row r="61" customFormat="false" ht="15" hidden="false" customHeight="true" outlineLevel="0" collapsed="false">
      <c r="J61" s="4" t="str">
        <f aca="false">IF(Cleaned_Data!$B$61=$C$6,COUNTIF(Cleaned_Data!$B$2:$B$61,$C$6),"")</f>
        <v/>
      </c>
    </row>
    <row r="62" customFormat="false" ht="15" hidden="false" customHeight="true" outlineLevel="0" collapsed="false">
      <c r="J62" s="4" t="str">
        <f aca="false">IF(Cleaned_Data!$B$62=$C$6,COUNTIF(Cleaned_Data!$B$2:$B$62,$C$6),"")</f>
        <v/>
      </c>
    </row>
    <row r="63" customFormat="false" ht="15" hidden="false" customHeight="true" outlineLevel="0" collapsed="false">
      <c r="J63" s="4" t="str">
        <f aca="false">IF(Cleaned_Data!$B$63=$C$6,COUNTIF(Cleaned_Data!$B$2:$B$63,$C$6),"")</f>
        <v/>
      </c>
    </row>
    <row r="64" customFormat="false" ht="15" hidden="false" customHeight="true" outlineLevel="0" collapsed="false">
      <c r="J64" s="4" t="str">
        <f aca="false">IF(Cleaned_Data!$B$64=$C$6,COUNTIF(Cleaned_Data!$B$2:$B$64,$C$6),"")</f>
        <v/>
      </c>
    </row>
    <row r="65" customFormat="false" ht="15" hidden="false" customHeight="true" outlineLevel="0" collapsed="false">
      <c r="J65" s="4" t="str">
        <f aca="false">IF(Cleaned_Data!$B$65=$C$6,COUNTIF(Cleaned_Data!$B$2:$B$65,$C$6),"")</f>
        <v/>
      </c>
    </row>
    <row r="66" customFormat="false" ht="15" hidden="false" customHeight="true" outlineLevel="0" collapsed="false">
      <c r="J66" s="4" t="str">
        <f aca="false">IF(Cleaned_Data!$B$66=$C$6,COUNTIF(Cleaned_Data!$B$2:$B$66,$C$6),"")</f>
        <v/>
      </c>
    </row>
    <row r="67" customFormat="false" ht="15" hidden="false" customHeight="true" outlineLevel="0" collapsed="false">
      <c r="J67" s="4" t="str">
        <f aca="false">IF(Cleaned_Data!$B$67=$C$6,COUNTIF(Cleaned_Data!$B$2:$B$67,$C$6),"")</f>
        <v/>
      </c>
    </row>
    <row r="68" customFormat="false" ht="15" hidden="false" customHeight="true" outlineLevel="0" collapsed="false">
      <c r="J68" s="4" t="str">
        <f aca="false">IF(Cleaned_Data!$B$68=$C$6,COUNTIF(Cleaned_Data!$B$2:$B$68,$C$6),"")</f>
        <v/>
      </c>
    </row>
    <row r="69" customFormat="false" ht="15" hidden="false" customHeight="true" outlineLevel="0" collapsed="false">
      <c r="J69" s="4" t="str">
        <f aca="false">IF(Cleaned_Data!$B$69=$C$6,COUNTIF(Cleaned_Data!$B$2:$B$69,$C$6),"")</f>
        <v/>
      </c>
    </row>
    <row r="70" customFormat="false" ht="15" hidden="false" customHeight="true" outlineLevel="0" collapsed="false">
      <c r="J70" s="4" t="str">
        <f aca="false">IF(Cleaned_Data!$B$70=$C$6,COUNTIF(Cleaned_Data!$B$2:$B$70,$C$6),"")</f>
        <v/>
      </c>
    </row>
    <row r="71" customFormat="false" ht="15" hidden="false" customHeight="true" outlineLevel="0" collapsed="false">
      <c r="J71" s="4" t="str">
        <f aca="false">IF(Cleaned_Data!$B$71=$C$6,COUNTIF(Cleaned_Data!$B$2:$B$71,$C$6),"")</f>
        <v/>
      </c>
    </row>
    <row r="72" customFormat="false" ht="15" hidden="false" customHeight="true" outlineLevel="0" collapsed="false">
      <c r="J72" s="4" t="str">
        <f aca="false">IF(Cleaned_Data!$B$72=$C$6,COUNTIF(Cleaned_Data!$B$2:$B$72,$C$6),"")</f>
        <v/>
      </c>
    </row>
    <row r="73" customFormat="false" ht="15" hidden="false" customHeight="true" outlineLevel="0" collapsed="false">
      <c r="J73" s="4" t="str">
        <f aca="false">IF(Cleaned_Data!$B$73=$C$6,COUNTIF(Cleaned_Data!$B$2:$B$73,$C$6),"")</f>
        <v/>
      </c>
    </row>
    <row r="74" customFormat="false" ht="15" hidden="false" customHeight="true" outlineLevel="0" collapsed="false">
      <c r="J74" s="4" t="str">
        <f aca="false">IF(Cleaned_Data!$B$74=$C$6,COUNTIF(Cleaned_Data!$B$2:$B$74,$C$6),"")</f>
        <v/>
      </c>
    </row>
    <row r="75" customFormat="false" ht="15" hidden="false" customHeight="true" outlineLevel="0" collapsed="false">
      <c r="J75" s="4" t="str">
        <f aca="false">IF(Cleaned_Data!$B$75=$C$6,COUNTIF(Cleaned_Data!$B$2:$B$75,$C$6),"")</f>
        <v/>
      </c>
    </row>
    <row r="76" customFormat="false" ht="15" hidden="false" customHeight="true" outlineLevel="0" collapsed="false">
      <c r="J76" s="4" t="str">
        <f aca="false">IF(Cleaned_Data!$B$76=$C$6,COUNTIF(Cleaned_Data!$B$2:$B$76,$C$6),"")</f>
        <v/>
      </c>
    </row>
    <row r="77" customFormat="false" ht="15" hidden="false" customHeight="true" outlineLevel="0" collapsed="false">
      <c r="J77" s="4" t="str">
        <f aca="false">IF(Cleaned_Data!$B$77=$C$6,COUNTIF(Cleaned_Data!$B$2:$B$77,$C$6),"")</f>
        <v/>
      </c>
    </row>
    <row r="78" customFormat="false" ht="15" hidden="false" customHeight="true" outlineLevel="0" collapsed="false">
      <c r="J78" s="4" t="str">
        <f aca="false">IF(Cleaned_Data!$B$78=$C$6,COUNTIF(Cleaned_Data!$B$2:$B$78,$C$6),"")</f>
        <v/>
      </c>
    </row>
    <row r="79" customFormat="false" ht="15" hidden="false" customHeight="true" outlineLevel="0" collapsed="false">
      <c r="J79" s="4" t="str">
        <f aca="false">IF(Cleaned_Data!$B$79=$C$6,COUNTIF(Cleaned_Data!$B$2:$B$79,$C$6),"")</f>
        <v/>
      </c>
    </row>
    <row r="80" customFormat="false" ht="15" hidden="false" customHeight="true" outlineLevel="0" collapsed="false">
      <c r="J80" s="4" t="str">
        <f aca="false">IF(Cleaned_Data!$B$80=$C$6,COUNTIF(Cleaned_Data!$B$2:$B$80,$C$6),"")</f>
        <v/>
      </c>
    </row>
    <row r="81" customFormat="false" ht="15" hidden="false" customHeight="true" outlineLevel="0" collapsed="false">
      <c r="J81" s="4" t="str">
        <f aca="false">IF(Cleaned_Data!$B$81=$C$6,COUNTIF(Cleaned_Data!$B$2:$B$81,$C$6),"")</f>
        <v/>
      </c>
    </row>
    <row r="82" customFormat="false" ht="15" hidden="false" customHeight="true" outlineLevel="0" collapsed="false">
      <c r="J82" s="4" t="str">
        <f aca="false">IF(Cleaned_Data!$B$82=$C$6,COUNTIF(Cleaned_Data!$B$2:$B$82,$C$6),"")</f>
        <v/>
      </c>
    </row>
    <row r="83" customFormat="false" ht="15" hidden="false" customHeight="true" outlineLevel="0" collapsed="false">
      <c r="J83" s="4" t="str">
        <f aca="false">IF(Cleaned_Data!$B$83=$C$6,COUNTIF(Cleaned_Data!$B$2:$B$83,$C$6),"")</f>
        <v/>
      </c>
    </row>
    <row r="84" customFormat="false" ht="15" hidden="false" customHeight="true" outlineLevel="0" collapsed="false">
      <c r="J84" s="4" t="str">
        <f aca="false">IF(Cleaned_Data!$B$84=$C$6,COUNTIF(Cleaned_Data!$B$2:$B$84,$C$6),"")</f>
        <v/>
      </c>
    </row>
    <row r="85" customFormat="false" ht="15" hidden="false" customHeight="true" outlineLevel="0" collapsed="false">
      <c r="J85" s="4" t="str">
        <f aca="false">IF(Cleaned_Data!$B$85=$C$6,COUNTIF(Cleaned_Data!$B$2:$B$85,$C$6),"")</f>
        <v/>
      </c>
    </row>
    <row r="86" customFormat="false" ht="15" hidden="false" customHeight="true" outlineLevel="0" collapsed="false">
      <c r="J86" s="4" t="str">
        <f aca="false">IF(Cleaned_Data!$B$86=$C$6,COUNTIF(Cleaned_Data!$B$2:$B$86,$C$6),"")</f>
        <v/>
      </c>
    </row>
    <row r="87" customFormat="false" ht="15" hidden="false" customHeight="true" outlineLevel="0" collapsed="false">
      <c r="J87" s="4" t="str">
        <f aca="false">IF(Cleaned_Data!$B$87=$C$6,COUNTIF(Cleaned_Data!$B$2:$B$87,$C$6),"")</f>
        <v/>
      </c>
    </row>
    <row r="88" customFormat="false" ht="15" hidden="false" customHeight="true" outlineLevel="0" collapsed="false">
      <c r="J88" s="4" t="str">
        <f aca="false">IF(Cleaned_Data!$B$88=$C$6,COUNTIF(Cleaned_Data!$B$2:$B$88,$C$6),"")</f>
        <v/>
      </c>
    </row>
    <row r="89" customFormat="false" ht="15" hidden="false" customHeight="true" outlineLevel="0" collapsed="false">
      <c r="J89" s="4" t="str">
        <f aca="false">IF(Cleaned_Data!$B$89=$C$6,COUNTIF(Cleaned_Data!$B$2:$B$89,$C$6),"")</f>
        <v/>
      </c>
    </row>
    <row r="90" customFormat="false" ht="15" hidden="false" customHeight="true" outlineLevel="0" collapsed="false">
      <c r="J90" s="4" t="str">
        <f aca="false">IF(Cleaned_Data!$B$90=$C$6,COUNTIF(Cleaned_Data!$B$2:$B$90,$C$6),"")</f>
        <v/>
      </c>
    </row>
    <row r="91" customFormat="false" ht="15" hidden="false" customHeight="true" outlineLevel="0" collapsed="false">
      <c r="J91" s="4" t="str">
        <f aca="false">IF(Cleaned_Data!$B$91=$C$6,COUNTIF(Cleaned_Data!$B$2:$B$91,$C$6),"")</f>
        <v/>
      </c>
    </row>
    <row r="92" customFormat="false" ht="15" hidden="false" customHeight="true" outlineLevel="0" collapsed="false">
      <c r="J92" s="4" t="str">
        <f aca="false">IF(Cleaned_Data!$B$92=$C$6,COUNTIF(Cleaned_Data!$B$2:$B$92,$C$6),"")</f>
        <v/>
      </c>
    </row>
    <row r="93" customFormat="false" ht="15" hidden="false" customHeight="true" outlineLevel="0" collapsed="false">
      <c r="J93" s="4" t="str">
        <f aca="false">IF(Cleaned_Data!$B$93=$C$6,COUNTIF(Cleaned_Data!$B$2:$B$93,$C$6),"")</f>
        <v/>
      </c>
    </row>
    <row r="94" customFormat="false" ht="15" hidden="false" customHeight="true" outlineLevel="0" collapsed="false">
      <c r="J94" s="4" t="str">
        <f aca="false">IF(Cleaned_Data!$B$94=$C$6,COUNTIF(Cleaned_Data!$B$2:$B$94,$C$6),"")</f>
        <v/>
      </c>
    </row>
    <row r="95" customFormat="false" ht="15" hidden="false" customHeight="true" outlineLevel="0" collapsed="false">
      <c r="J95" s="4" t="str">
        <f aca="false">IF(Cleaned_Data!$B$95=$C$6,COUNTIF(Cleaned_Data!$B$2:$B$95,$C$6),"")</f>
        <v/>
      </c>
    </row>
    <row r="96" customFormat="false" ht="15" hidden="false" customHeight="true" outlineLevel="0" collapsed="false">
      <c r="J96" s="4" t="str">
        <f aca="false">IF(Cleaned_Data!$B$96=$C$6,COUNTIF(Cleaned_Data!$B$2:$B$96,$C$6),"")</f>
        <v/>
      </c>
    </row>
    <row r="97" customFormat="false" ht="15" hidden="false" customHeight="true" outlineLevel="0" collapsed="false">
      <c r="J97" s="4" t="str">
        <f aca="false">IF(Cleaned_Data!$B$97=$C$6,COUNTIF(Cleaned_Data!$B$2:$B$97,$C$6),"")</f>
        <v/>
      </c>
    </row>
    <row r="98" customFormat="false" ht="15" hidden="false" customHeight="true" outlineLevel="0" collapsed="false">
      <c r="J98" s="4" t="str">
        <f aca="false">IF(Cleaned_Data!$B$98=$C$6,COUNTIF(Cleaned_Data!$B$2:$B$98,$C$6),"")</f>
        <v/>
      </c>
    </row>
    <row r="99" customFormat="false" ht="15" hidden="false" customHeight="true" outlineLevel="0" collapsed="false">
      <c r="J99" s="4" t="str">
        <f aca="false">IF(Cleaned_Data!$B$99=$C$6,COUNTIF(Cleaned_Data!$B$2:$B$99,$C$6),"")</f>
        <v/>
      </c>
    </row>
    <row r="100" customFormat="false" ht="15" hidden="false" customHeight="true" outlineLevel="0" collapsed="false">
      <c r="J100" s="4" t="str">
        <f aca="false">IF(Cleaned_Data!$B$100=$C$6,COUNTIF(Cleaned_Data!$B$2:$B$100,$C$6),"")</f>
        <v/>
      </c>
    </row>
    <row r="101" customFormat="false" ht="15" hidden="false" customHeight="true" outlineLevel="0" collapsed="false">
      <c r="J101" s="4" t="str">
        <f aca="false">IF(Cleaned_Data!$B$101=$C$6,COUNTIF(Cleaned_Data!$B$2:$B$101,$C$6),"")</f>
        <v/>
      </c>
    </row>
  </sheetData>
  <mergeCells count="10">
    <mergeCell ref="B2:G2"/>
    <mergeCell ref="B3:G3"/>
    <mergeCell ref="B5:G5"/>
    <mergeCell ref="B24:G24"/>
    <mergeCell ref="B26:G26"/>
    <mergeCell ref="B28:G28"/>
    <mergeCell ref="B34:G34"/>
    <mergeCell ref="B40:G40"/>
    <mergeCell ref="B44:G44"/>
    <mergeCell ref="B50:G52"/>
  </mergeCells>
  <dataValidations count="1">
    <dataValidation allowBlank="true" error="Pick a name from Cleaned_Data, or type one exactly as it appears there." errorStyle="stop" errorTitle="Unknown customer" operator="between" showDropDown="false" showErrorMessage="false" showInputMessage="false" sqref="C6" type="list">
      <formula1>Cleaned_Data!$B$2:$B$101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L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1" activeCellId="0" sqref="F2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18.73"/>
    <col collapsed="false" customWidth="true" hidden="false" outlineLevel="0" max="2" min="2" style="1" width="19.18"/>
    <col collapsed="false" customWidth="true" hidden="false" outlineLevel="0" max="3" min="3" style="1" width="19.09"/>
    <col collapsed="false" customWidth="true" hidden="false" outlineLevel="0" max="4" min="4" style="1" width="12.36"/>
    <col collapsed="false" customWidth="true" hidden="false" outlineLevel="0" max="5" min="5" style="1" width="15.45"/>
    <col collapsed="false" customWidth="true" hidden="false" outlineLevel="0" max="7" min="7" style="1" width="12.36"/>
    <col collapsed="false" customWidth="true" hidden="false" outlineLevel="0" max="8" min="8" style="1" width="20"/>
    <col collapsed="false" customWidth="true" hidden="false" outlineLevel="0" max="9" min="9" style="1" width="10.82"/>
    <col collapsed="false" customWidth="true" hidden="false" outlineLevel="0" max="11" min="11" style="1" width="12.36"/>
    <col collapsed="false" customWidth="true" hidden="false" outlineLevel="0" max="12" min="12" style="1" width="19.18"/>
  </cols>
  <sheetData>
    <row r="3" customFormat="false" ht="14.25" hidden="false" customHeight="true" outlineLevel="0" collapsed="false">
      <c r="A3" s="35" t="s">
        <v>32</v>
      </c>
      <c r="B3" s="36" t="s">
        <v>33</v>
      </c>
      <c r="D3" s="35" t="s">
        <v>10</v>
      </c>
      <c r="E3" s="36" t="s">
        <v>34</v>
      </c>
    </row>
    <row r="4" customFormat="false" ht="14.25" hidden="false" customHeight="true" outlineLevel="0" collapsed="false">
      <c r="A4" s="37" t="s">
        <v>35</v>
      </c>
      <c r="B4" s="38" t="n">
        <v>24250000</v>
      </c>
      <c r="D4" s="37" t="s">
        <v>36</v>
      </c>
      <c r="E4" s="38" t="n">
        <v>18</v>
      </c>
    </row>
    <row r="5" customFormat="false" ht="14.25" hidden="false" customHeight="true" outlineLevel="0" collapsed="false">
      <c r="A5" s="39" t="s">
        <v>37</v>
      </c>
      <c r="B5" s="40" t="n">
        <v>18800000</v>
      </c>
      <c r="D5" s="39" t="s">
        <v>38</v>
      </c>
      <c r="E5" s="40" t="n">
        <v>11</v>
      </c>
      <c r="H5" s="35" t="s">
        <v>32</v>
      </c>
      <c r="I5" s="36" t="s">
        <v>39</v>
      </c>
      <c r="K5" s="35" t="s">
        <v>32</v>
      </c>
      <c r="L5" s="36" t="s">
        <v>40</v>
      </c>
    </row>
    <row r="6" customFormat="false" ht="14.25" hidden="false" customHeight="true" outlineLevel="0" collapsed="false">
      <c r="A6" s="39" t="s">
        <v>41</v>
      </c>
      <c r="B6" s="40" t="n">
        <v>28050000</v>
      </c>
      <c r="D6" s="39" t="s">
        <v>42</v>
      </c>
      <c r="E6" s="40" t="n">
        <v>22</v>
      </c>
      <c r="H6" s="37" t="s">
        <v>35</v>
      </c>
      <c r="I6" s="38" t="n">
        <v>396933.12</v>
      </c>
      <c r="K6" s="37" t="s">
        <v>35</v>
      </c>
      <c r="L6" s="38" t="n">
        <v>23115382.92</v>
      </c>
    </row>
    <row r="7" customFormat="false" ht="14.25" hidden="false" customHeight="true" outlineLevel="0" collapsed="false">
      <c r="A7" s="39" t="s">
        <v>43</v>
      </c>
      <c r="B7" s="41" t="n">
        <v>15200000</v>
      </c>
      <c r="D7" s="39" t="s">
        <v>44</v>
      </c>
      <c r="E7" s="40" t="n">
        <v>20</v>
      </c>
      <c r="H7" s="39" t="s">
        <v>37</v>
      </c>
      <c r="I7" s="40" t="n">
        <v>262941.15</v>
      </c>
      <c r="K7" s="39" t="s">
        <v>37</v>
      </c>
      <c r="L7" s="40" t="n">
        <v>13430520.73</v>
      </c>
    </row>
    <row r="8" customFormat="false" ht="14.25" hidden="false" customHeight="true" outlineLevel="0" collapsed="false">
      <c r="A8" s="42" t="s">
        <v>45</v>
      </c>
      <c r="B8" s="43" t="n">
        <v>86300000</v>
      </c>
      <c r="D8" s="39" t="s">
        <v>46</v>
      </c>
      <c r="E8" s="40" t="n">
        <v>16</v>
      </c>
      <c r="H8" s="39" t="s">
        <v>41</v>
      </c>
      <c r="I8" s="40" t="n">
        <v>412173.06</v>
      </c>
      <c r="K8" s="39" t="s">
        <v>41</v>
      </c>
      <c r="L8" s="40" t="n">
        <v>22577664.44</v>
      </c>
    </row>
    <row r="9" customFormat="false" ht="14.25" hidden="false" customHeight="true" outlineLevel="0" collapsed="false">
      <c r="D9" s="39" t="s">
        <v>47</v>
      </c>
      <c r="E9" s="41" t="n">
        <v>13</v>
      </c>
      <c r="H9" s="39" t="s">
        <v>43</v>
      </c>
      <c r="I9" s="41" t="n">
        <v>301643.29</v>
      </c>
      <c r="K9" s="39" t="s">
        <v>43</v>
      </c>
      <c r="L9" s="41" t="n">
        <v>9406055.76</v>
      </c>
    </row>
    <row r="10" customFormat="false" ht="14.25" hidden="false" customHeight="true" outlineLevel="0" collapsed="false">
      <c r="D10" s="42" t="s">
        <v>45</v>
      </c>
      <c r="E10" s="43" t="n">
        <v>100</v>
      </c>
      <c r="H10" s="42" t="s">
        <v>45</v>
      </c>
      <c r="I10" s="43" t="n">
        <v>1373690.62</v>
      </c>
      <c r="K10" s="42" t="s">
        <v>45</v>
      </c>
      <c r="L10" s="43" t="n">
        <v>68529623.85</v>
      </c>
    </row>
    <row r="18" customFormat="false" ht="14.25" hidden="false" customHeight="true" outlineLevel="0" collapsed="false">
      <c r="D18" s="35" t="s">
        <v>10</v>
      </c>
      <c r="E18" s="36" t="s">
        <v>33</v>
      </c>
    </row>
    <row r="19" customFormat="false" ht="14.25" hidden="false" customHeight="true" outlineLevel="0" collapsed="false">
      <c r="A19" s="44" t="s">
        <v>48</v>
      </c>
      <c r="B19" s="45"/>
      <c r="D19" s="37" t="s">
        <v>36</v>
      </c>
      <c r="E19" s="38" t="n">
        <v>16150000</v>
      </c>
    </row>
    <row r="20" customFormat="false" ht="14.25" hidden="false" customHeight="true" outlineLevel="0" collapsed="false">
      <c r="A20" s="46" t="s">
        <v>49</v>
      </c>
      <c r="B20" s="47" t="s">
        <v>39</v>
      </c>
      <c r="D20" s="39" t="s">
        <v>38</v>
      </c>
      <c r="E20" s="40" t="n">
        <v>6850000</v>
      </c>
      <c r="G20" s="35" t="s">
        <v>32</v>
      </c>
      <c r="H20" s="36" t="s">
        <v>50</v>
      </c>
    </row>
    <row r="21" customFormat="false" ht="14.25" hidden="false" customHeight="true" outlineLevel="0" collapsed="false">
      <c r="A21" s="48" t="n">
        <v>1224</v>
      </c>
      <c r="B21" s="49" t="n">
        <v>1373690.62</v>
      </c>
      <c r="D21" s="39" t="s">
        <v>42</v>
      </c>
      <c r="E21" s="40" t="n">
        <v>18100000</v>
      </c>
      <c r="G21" s="37" t="s">
        <v>35</v>
      </c>
      <c r="H21" s="38" t="n">
        <v>47365382.92</v>
      </c>
    </row>
    <row r="22" customFormat="false" ht="14.25" hidden="false" customHeight="true" outlineLevel="0" collapsed="false">
      <c r="D22" s="39" t="s">
        <v>44</v>
      </c>
      <c r="E22" s="40" t="n">
        <v>17650000</v>
      </c>
      <c r="G22" s="39" t="s">
        <v>37</v>
      </c>
      <c r="H22" s="40" t="n">
        <v>32230520.73</v>
      </c>
    </row>
    <row r="23" customFormat="false" ht="14.25" hidden="false" customHeight="true" outlineLevel="0" collapsed="false">
      <c r="D23" s="39" t="s">
        <v>46</v>
      </c>
      <c r="E23" s="40" t="n">
        <v>13350000</v>
      </c>
      <c r="G23" s="39" t="s">
        <v>41</v>
      </c>
      <c r="H23" s="40" t="n">
        <v>50627664.44</v>
      </c>
    </row>
    <row r="24" customFormat="false" ht="14.25" hidden="false" customHeight="true" outlineLevel="0" collapsed="false">
      <c r="D24" s="39" t="s">
        <v>47</v>
      </c>
      <c r="E24" s="41" t="n">
        <v>14200000</v>
      </c>
      <c r="G24" s="39" t="s">
        <v>43</v>
      </c>
      <c r="H24" s="41" t="n">
        <v>24606055.76</v>
      </c>
    </row>
    <row r="25" customFormat="false" ht="14.25" hidden="false" customHeight="true" outlineLevel="0" collapsed="false">
      <c r="D25" s="42" t="s">
        <v>45</v>
      </c>
      <c r="E25" s="43" t="n">
        <v>86300000</v>
      </c>
      <c r="G25" s="42" t="s">
        <v>45</v>
      </c>
      <c r="H25" s="43" t="n">
        <v>154829623.85</v>
      </c>
    </row>
    <row r="31" customFormat="false" ht="14.25" hidden="false" customHeight="true" outlineLevel="0" collapsed="false">
      <c r="B31" s="44" t="s">
        <v>48</v>
      </c>
      <c r="C31" s="45"/>
    </row>
    <row r="32" customFormat="false" ht="14.25" hidden="false" customHeight="true" outlineLevel="0" collapsed="false">
      <c r="B32" s="46" t="s">
        <v>40</v>
      </c>
      <c r="C32" s="47" t="s">
        <v>33</v>
      </c>
    </row>
    <row r="33" customFormat="false" ht="14.25" hidden="false" customHeight="true" outlineLevel="0" collapsed="false">
      <c r="B33" s="48" t="n">
        <v>68529623.85</v>
      </c>
      <c r="C33" s="49" t="n">
        <v>86300000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1"/>
  <sheetViews>
    <sheetView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E11" activeCellId="0" sqref="E1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9.63"/>
    <col collapsed="false" customWidth="true" hidden="false" outlineLevel="0" max="2" min="2" style="1" width="16.91"/>
    <col collapsed="false" customWidth="true" hidden="false" outlineLevel="0" max="3" min="3" style="1" width="13.63"/>
    <col collapsed="false" customWidth="true" hidden="false" outlineLevel="0" max="4" min="4" style="1" width="14.63"/>
    <col collapsed="false" customWidth="true" hidden="false" outlineLevel="0" max="6" min="5" style="1" width="14.27"/>
    <col collapsed="false" customWidth="true" hidden="false" outlineLevel="0" max="7" min="7" style="1" width="17.27"/>
    <col collapsed="false" customWidth="true" hidden="false" outlineLevel="0" max="8" min="8" style="1" width="12.27"/>
    <col collapsed="false" customWidth="true" hidden="false" outlineLevel="0" max="9" min="9" style="50" width="13.18"/>
    <col collapsed="false" customWidth="true" hidden="false" outlineLevel="0" max="10" min="10" style="1" width="14.73"/>
    <col collapsed="false" customWidth="true" hidden="false" outlineLevel="0" max="11" min="11" style="1" width="15.54"/>
  </cols>
  <sheetData>
    <row r="1" customFormat="false" ht="14.25" hidden="false" customHeight="true" outlineLevel="0" collapsed="false">
      <c r="A1" s="51" t="s">
        <v>51</v>
      </c>
      <c r="B1" s="51" t="s">
        <v>52</v>
      </c>
      <c r="C1" s="51" t="s">
        <v>32</v>
      </c>
      <c r="D1" s="51" t="s">
        <v>53</v>
      </c>
      <c r="E1" s="51" t="s">
        <v>54</v>
      </c>
      <c r="F1" s="51" t="s">
        <v>55</v>
      </c>
      <c r="G1" s="51" t="s">
        <v>56</v>
      </c>
      <c r="H1" s="51" t="s">
        <v>10</v>
      </c>
      <c r="I1" s="52" t="s">
        <v>57</v>
      </c>
      <c r="J1" s="51" t="s">
        <v>58</v>
      </c>
      <c r="K1" s="51" t="s">
        <v>59</v>
      </c>
    </row>
    <row r="2" customFormat="false" ht="14.25" hidden="false" customHeight="true" outlineLevel="0" collapsed="false">
      <c r="A2" s="1" t="s">
        <v>60</v>
      </c>
      <c r="B2" s="1" t="s">
        <v>61</v>
      </c>
      <c r="C2" s="1" t="s">
        <v>35</v>
      </c>
      <c r="D2" s="1" t="n">
        <v>750000</v>
      </c>
      <c r="E2" s="1" t="n">
        <v>10.2</v>
      </c>
      <c r="F2" s="1" t="n">
        <v>25</v>
      </c>
      <c r="G2" s="1" t="s">
        <v>62</v>
      </c>
      <c r="H2" s="1" t="s">
        <v>42</v>
      </c>
      <c r="I2" s="50" t="n">
        <v>6921.28</v>
      </c>
      <c r="J2" s="1" t="n">
        <v>1326384.14</v>
      </c>
      <c r="K2" s="1" t="n">
        <v>2076384.14</v>
      </c>
    </row>
    <row r="3" customFormat="false" ht="14.25" hidden="false" customHeight="true" outlineLevel="0" collapsed="false">
      <c r="A3" s="1" t="s">
        <v>63</v>
      </c>
      <c r="B3" s="1" t="s">
        <v>64</v>
      </c>
      <c r="C3" s="1" t="s">
        <v>41</v>
      </c>
      <c r="D3" s="1" t="n">
        <v>1200000</v>
      </c>
      <c r="E3" s="1" t="n">
        <v>7.5</v>
      </c>
      <c r="F3" s="1" t="n">
        <v>5</v>
      </c>
      <c r="G3" s="1" t="s">
        <v>65</v>
      </c>
      <c r="H3" s="1" t="s">
        <v>46</v>
      </c>
      <c r="I3" s="50" t="n">
        <v>24045.54</v>
      </c>
      <c r="J3" s="1" t="n">
        <v>242732.3</v>
      </c>
      <c r="K3" s="1" t="n">
        <v>1442732.3</v>
      </c>
    </row>
    <row r="4" customFormat="false" ht="14.25" hidden="false" customHeight="true" outlineLevel="0" collapsed="false">
      <c r="A4" s="1" t="s">
        <v>66</v>
      </c>
      <c r="B4" s="1" t="s">
        <v>67</v>
      </c>
      <c r="C4" s="1" t="s">
        <v>41</v>
      </c>
      <c r="D4" s="1" t="n">
        <v>250000</v>
      </c>
      <c r="E4" s="1" t="n">
        <v>9.5</v>
      </c>
      <c r="F4" s="1" t="n">
        <v>10</v>
      </c>
      <c r="G4" s="1" t="s">
        <v>68</v>
      </c>
      <c r="H4" s="1" t="s">
        <v>47</v>
      </c>
      <c r="I4" s="50" t="n">
        <v>3234.94</v>
      </c>
      <c r="J4" s="1" t="n">
        <v>138192.67</v>
      </c>
      <c r="K4" s="1" t="n">
        <v>388192.67</v>
      </c>
    </row>
    <row r="5" customFormat="false" ht="14.25" hidden="false" customHeight="true" outlineLevel="0" collapsed="false">
      <c r="A5" s="1" t="s">
        <v>69</v>
      </c>
      <c r="B5" s="1" t="s">
        <v>67</v>
      </c>
      <c r="C5" s="1" t="s">
        <v>35</v>
      </c>
      <c r="D5" s="1" t="n">
        <v>250000</v>
      </c>
      <c r="E5" s="1" t="n">
        <v>12.5</v>
      </c>
      <c r="F5" s="1" t="n">
        <v>7</v>
      </c>
      <c r="G5" s="1" t="s">
        <v>70</v>
      </c>
      <c r="H5" s="1" t="s">
        <v>38</v>
      </c>
      <c r="I5" s="50" t="n">
        <v>4480.31</v>
      </c>
      <c r="J5" s="1" t="n">
        <v>126346.01</v>
      </c>
      <c r="K5" s="1" t="n">
        <v>376346.01</v>
      </c>
    </row>
    <row r="6" customFormat="false" ht="14.25" hidden="false" customHeight="true" outlineLevel="0" collapsed="false">
      <c r="A6" s="1" t="s">
        <v>71</v>
      </c>
      <c r="B6" s="1" t="s">
        <v>64</v>
      </c>
      <c r="C6" s="1" t="s">
        <v>43</v>
      </c>
      <c r="D6" s="1" t="n">
        <v>2000000</v>
      </c>
      <c r="E6" s="1" t="n">
        <v>8.2</v>
      </c>
      <c r="F6" s="1" t="n">
        <v>7</v>
      </c>
      <c r="G6" s="1" t="s">
        <v>72</v>
      </c>
      <c r="H6" s="1" t="s">
        <v>47</v>
      </c>
      <c r="I6" s="50" t="n">
        <v>31372.09</v>
      </c>
      <c r="J6" s="1" t="n">
        <v>635255.31</v>
      </c>
      <c r="K6" s="1" t="n">
        <v>2635255.31</v>
      </c>
    </row>
    <row r="7" customFormat="false" ht="14.25" hidden="false" customHeight="true" outlineLevel="0" collapsed="false">
      <c r="A7" s="1" t="s">
        <v>73</v>
      </c>
      <c r="B7" s="1" t="s">
        <v>74</v>
      </c>
      <c r="C7" s="1" t="s">
        <v>37</v>
      </c>
      <c r="D7" s="1" t="n">
        <v>250000</v>
      </c>
      <c r="E7" s="1" t="n">
        <v>8.5</v>
      </c>
      <c r="F7" s="1" t="n">
        <v>3</v>
      </c>
      <c r="G7" s="1" t="s">
        <v>75</v>
      </c>
      <c r="H7" s="1" t="s">
        <v>36</v>
      </c>
      <c r="I7" s="50" t="n">
        <v>7891.88</v>
      </c>
      <c r="J7" s="1" t="n">
        <v>34107.84</v>
      </c>
      <c r="K7" s="1" t="n">
        <v>284107.84</v>
      </c>
    </row>
    <row r="8" customFormat="false" ht="14.25" hidden="false" customHeight="true" outlineLevel="0" collapsed="false">
      <c r="A8" s="1" t="s">
        <v>76</v>
      </c>
      <c r="B8" s="1" t="s">
        <v>61</v>
      </c>
      <c r="C8" s="1" t="s">
        <v>41</v>
      </c>
      <c r="D8" s="1" t="n">
        <v>450000</v>
      </c>
      <c r="E8" s="1" t="n">
        <v>9.5</v>
      </c>
      <c r="F8" s="1" t="n">
        <v>20</v>
      </c>
      <c r="G8" s="1" t="s">
        <v>77</v>
      </c>
      <c r="H8" s="1" t="s">
        <v>38</v>
      </c>
      <c r="I8" s="50" t="n">
        <v>4194.59</v>
      </c>
      <c r="J8" s="1" t="n">
        <v>556701.68</v>
      </c>
      <c r="K8" s="1" t="n">
        <v>1006701.68</v>
      </c>
    </row>
    <row r="9" customFormat="false" ht="14.25" hidden="false" customHeight="true" outlineLevel="0" collapsed="false">
      <c r="A9" s="1" t="s">
        <v>78</v>
      </c>
      <c r="B9" s="1" t="s">
        <v>79</v>
      </c>
      <c r="C9" s="1" t="s">
        <v>41</v>
      </c>
      <c r="D9" s="1" t="n">
        <v>900000</v>
      </c>
      <c r="E9" s="1" t="n">
        <v>10.2</v>
      </c>
      <c r="F9" s="1" t="n">
        <v>20</v>
      </c>
      <c r="G9" s="1" t="s">
        <v>80</v>
      </c>
      <c r="H9" s="1" t="s">
        <v>46</v>
      </c>
      <c r="I9" s="50" t="n">
        <v>8804.79</v>
      </c>
      <c r="J9" s="1" t="n">
        <v>1213149.14</v>
      </c>
      <c r="K9" s="1" t="n">
        <v>2113149.14</v>
      </c>
    </row>
    <row r="10" customFormat="false" ht="14.25" hidden="false" customHeight="true" outlineLevel="0" collapsed="false">
      <c r="A10" s="1" t="s">
        <v>81</v>
      </c>
      <c r="B10" s="1" t="s">
        <v>82</v>
      </c>
      <c r="C10" s="1" t="s">
        <v>43</v>
      </c>
      <c r="D10" s="1" t="n">
        <v>450000</v>
      </c>
      <c r="E10" s="1" t="n">
        <v>9.5</v>
      </c>
      <c r="F10" s="1" t="n">
        <v>7</v>
      </c>
      <c r="G10" s="1" t="s">
        <v>83</v>
      </c>
      <c r="H10" s="1" t="s">
        <v>42</v>
      </c>
      <c r="I10" s="50" t="n">
        <v>7354.79</v>
      </c>
      <c r="J10" s="1" t="n">
        <v>167802.51</v>
      </c>
      <c r="K10" s="1" t="n">
        <v>617802.51</v>
      </c>
    </row>
    <row r="11" customFormat="false" ht="14.25" hidden="false" customHeight="true" outlineLevel="0" collapsed="false">
      <c r="A11" s="1" t="s">
        <v>84</v>
      </c>
      <c r="B11" s="1" t="s">
        <v>67</v>
      </c>
      <c r="C11" s="1" t="s">
        <v>41</v>
      </c>
      <c r="D11" s="1" t="n">
        <v>900000</v>
      </c>
      <c r="E11" s="1" t="n">
        <v>8.5</v>
      </c>
      <c r="F11" s="1" t="n">
        <v>10</v>
      </c>
      <c r="G11" s="1" t="s">
        <v>85</v>
      </c>
      <c r="H11" s="1" t="s">
        <v>46</v>
      </c>
      <c r="I11" s="50" t="n">
        <v>11158.71</v>
      </c>
      <c r="J11" s="1" t="n">
        <v>439045.44</v>
      </c>
      <c r="K11" s="1" t="n">
        <v>1339045.44</v>
      </c>
    </row>
    <row r="12" customFormat="false" ht="14.25" hidden="false" customHeight="true" outlineLevel="0" collapsed="false">
      <c r="A12" s="1" t="s">
        <v>86</v>
      </c>
      <c r="B12" s="1" t="s">
        <v>79</v>
      </c>
      <c r="C12" s="1" t="s">
        <v>41</v>
      </c>
      <c r="D12" s="1" t="n">
        <v>2000000</v>
      </c>
      <c r="E12" s="1" t="n">
        <v>11</v>
      </c>
      <c r="F12" s="1" t="n">
        <v>20</v>
      </c>
      <c r="G12" s="1" t="s">
        <v>87</v>
      </c>
      <c r="H12" s="1" t="s">
        <v>36</v>
      </c>
      <c r="I12" s="50" t="n">
        <v>20643.77</v>
      </c>
      <c r="J12" s="1" t="n">
        <v>2954504.28</v>
      </c>
      <c r="K12" s="1" t="n">
        <v>4954504.28</v>
      </c>
    </row>
    <row r="13" customFormat="false" ht="14.25" hidden="false" customHeight="true" outlineLevel="0" collapsed="false">
      <c r="A13" s="1" t="s">
        <v>88</v>
      </c>
      <c r="B13" s="1" t="s">
        <v>89</v>
      </c>
      <c r="C13" s="1" t="s">
        <v>35</v>
      </c>
      <c r="D13" s="1" t="n">
        <v>750000</v>
      </c>
      <c r="E13" s="1" t="n">
        <v>11</v>
      </c>
      <c r="F13" s="1" t="n">
        <v>25</v>
      </c>
      <c r="G13" s="1" t="s">
        <v>90</v>
      </c>
      <c r="H13" s="1" t="s">
        <v>46</v>
      </c>
      <c r="I13" s="50" t="n">
        <v>7350.85</v>
      </c>
      <c r="J13" s="1" t="n">
        <v>1455254.42</v>
      </c>
      <c r="K13" s="1" t="n">
        <v>2205254.42</v>
      </c>
    </row>
    <row r="14" customFormat="false" ht="14.25" hidden="false" customHeight="true" outlineLevel="0" collapsed="false">
      <c r="A14" s="1" t="s">
        <v>91</v>
      </c>
      <c r="B14" s="1" t="s">
        <v>82</v>
      </c>
      <c r="C14" s="1" t="s">
        <v>41</v>
      </c>
      <c r="D14" s="1" t="n">
        <v>450000</v>
      </c>
      <c r="E14" s="1" t="n">
        <v>12.5</v>
      </c>
      <c r="F14" s="1" t="n">
        <v>15</v>
      </c>
      <c r="G14" s="1" t="s">
        <v>92</v>
      </c>
      <c r="H14" s="1" t="s">
        <v>44</v>
      </c>
      <c r="I14" s="50" t="n">
        <v>5546.35</v>
      </c>
      <c r="J14" s="1" t="n">
        <v>548342.89</v>
      </c>
      <c r="K14" s="1" t="n">
        <v>998342.89</v>
      </c>
    </row>
    <row r="15" customFormat="false" ht="14.25" hidden="false" customHeight="true" outlineLevel="0" collapsed="false">
      <c r="A15" s="1" t="s">
        <v>93</v>
      </c>
      <c r="B15" s="1" t="s">
        <v>61</v>
      </c>
      <c r="C15" s="1" t="s">
        <v>37</v>
      </c>
      <c r="D15" s="1" t="n">
        <v>300000</v>
      </c>
      <c r="E15" s="1" t="n">
        <v>7.5</v>
      </c>
      <c r="F15" s="1" t="n">
        <v>3</v>
      </c>
      <c r="G15" s="1" t="s">
        <v>94</v>
      </c>
      <c r="H15" s="1" t="s">
        <v>44</v>
      </c>
      <c r="I15" s="50" t="n">
        <v>9331.87</v>
      </c>
      <c r="J15" s="1" t="n">
        <v>35947.16</v>
      </c>
      <c r="K15" s="1" t="n">
        <v>335947.16</v>
      </c>
    </row>
    <row r="16" customFormat="false" ht="14.25" hidden="false" customHeight="true" outlineLevel="0" collapsed="false">
      <c r="A16" s="1" t="s">
        <v>95</v>
      </c>
      <c r="B16" s="1" t="s">
        <v>96</v>
      </c>
      <c r="C16" s="1" t="s">
        <v>35</v>
      </c>
      <c r="D16" s="1" t="n">
        <v>500000</v>
      </c>
      <c r="E16" s="1" t="n">
        <v>8.5</v>
      </c>
      <c r="F16" s="1" t="n">
        <v>15</v>
      </c>
      <c r="G16" s="1" t="s">
        <v>97</v>
      </c>
      <c r="H16" s="1" t="s">
        <v>38</v>
      </c>
      <c r="I16" s="50" t="n">
        <v>4923.7</v>
      </c>
      <c r="J16" s="1" t="n">
        <v>386265.6</v>
      </c>
      <c r="K16" s="1" t="n">
        <v>886265.6</v>
      </c>
    </row>
    <row r="17" customFormat="false" ht="14.25" hidden="false" customHeight="true" outlineLevel="0" collapsed="false">
      <c r="A17" s="1" t="s">
        <v>98</v>
      </c>
      <c r="B17" s="1" t="s">
        <v>89</v>
      </c>
      <c r="C17" s="1" t="s">
        <v>43</v>
      </c>
      <c r="D17" s="1" t="n">
        <v>300000</v>
      </c>
      <c r="E17" s="1" t="n">
        <v>8.5</v>
      </c>
      <c r="F17" s="1" t="n">
        <v>15</v>
      </c>
      <c r="G17" s="1" t="s">
        <v>99</v>
      </c>
      <c r="H17" s="1" t="s">
        <v>38</v>
      </c>
      <c r="I17" s="50" t="n">
        <v>2954.22</v>
      </c>
      <c r="J17" s="1" t="n">
        <v>231759.36</v>
      </c>
      <c r="K17" s="1" t="n">
        <v>531759.36</v>
      </c>
    </row>
    <row r="18" customFormat="false" ht="14.25" hidden="false" customHeight="true" outlineLevel="0" collapsed="false">
      <c r="A18" s="1" t="s">
        <v>100</v>
      </c>
      <c r="B18" s="1" t="s">
        <v>64</v>
      </c>
      <c r="C18" s="1" t="s">
        <v>41</v>
      </c>
      <c r="D18" s="1" t="n">
        <v>300000</v>
      </c>
      <c r="E18" s="1" t="n">
        <v>9.5</v>
      </c>
      <c r="F18" s="1" t="n">
        <v>7</v>
      </c>
      <c r="G18" s="1" t="s">
        <v>101</v>
      </c>
      <c r="H18" s="1" t="s">
        <v>46</v>
      </c>
      <c r="I18" s="50" t="n">
        <v>4903.19</v>
      </c>
      <c r="J18" s="1" t="n">
        <v>111868.34</v>
      </c>
      <c r="K18" s="1" t="n">
        <v>411868.34</v>
      </c>
    </row>
    <row r="19" customFormat="false" ht="14.25" hidden="false" customHeight="true" outlineLevel="0" collapsed="false">
      <c r="A19" s="1" t="s">
        <v>102</v>
      </c>
      <c r="B19" s="1" t="s">
        <v>74</v>
      </c>
      <c r="C19" s="1" t="s">
        <v>41</v>
      </c>
      <c r="D19" s="1" t="n">
        <v>1200000</v>
      </c>
      <c r="E19" s="1" t="n">
        <v>7.5</v>
      </c>
      <c r="F19" s="1" t="n">
        <v>5</v>
      </c>
      <c r="G19" s="1" t="s">
        <v>103</v>
      </c>
      <c r="H19" s="1" t="s">
        <v>47</v>
      </c>
      <c r="I19" s="50" t="n">
        <v>24045.54</v>
      </c>
      <c r="J19" s="1" t="n">
        <v>242732.3</v>
      </c>
      <c r="K19" s="1" t="n">
        <v>1442732.3</v>
      </c>
    </row>
    <row r="20" customFormat="false" ht="14.25" hidden="false" customHeight="true" outlineLevel="0" collapsed="false">
      <c r="A20" s="1" t="s">
        <v>104</v>
      </c>
      <c r="B20" s="1" t="s">
        <v>61</v>
      </c>
      <c r="C20" s="1" t="s">
        <v>35</v>
      </c>
      <c r="D20" s="1" t="n">
        <v>750000</v>
      </c>
      <c r="E20" s="1" t="n">
        <v>8.5</v>
      </c>
      <c r="F20" s="1" t="n">
        <v>20</v>
      </c>
      <c r="G20" s="1" t="s">
        <v>105</v>
      </c>
      <c r="H20" s="1" t="s">
        <v>44</v>
      </c>
      <c r="I20" s="50" t="n">
        <v>6508.67</v>
      </c>
      <c r="J20" s="1" t="n">
        <v>812081.82</v>
      </c>
      <c r="K20" s="1" t="n">
        <v>1562081.82</v>
      </c>
    </row>
    <row r="21" customFormat="false" ht="14.25" hidden="false" customHeight="true" outlineLevel="0" collapsed="false">
      <c r="A21" s="1" t="s">
        <v>106</v>
      </c>
      <c r="B21" s="1" t="s">
        <v>82</v>
      </c>
      <c r="C21" s="1" t="s">
        <v>37</v>
      </c>
      <c r="D21" s="1" t="n">
        <v>900000</v>
      </c>
      <c r="E21" s="1" t="n">
        <v>10.2</v>
      </c>
      <c r="F21" s="1" t="n">
        <v>10</v>
      </c>
      <c r="G21" s="1" t="s">
        <v>107</v>
      </c>
      <c r="H21" s="1" t="s">
        <v>46</v>
      </c>
      <c r="I21" s="50" t="n">
        <v>11993.47</v>
      </c>
      <c r="J21" s="1" t="n">
        <v>539215.88</v>
      </c>
      <c r="K21" s="1" t="n">
        <v>1439215.88</v>
      </c>
    </row>
    <row r="22" customFormat="false" ht="14.25" hidden="false" customHeight="true" outlineLevel="0" collapsed="false">
      <c r="A22" s="1" t="s">
        <v>108</v>
      </c>
      <c r="B22" s="1" t="s">
        <v>64</v>
      </c>
      <c r="C22" s="1" t="s">
        <v>43</v>
      </c>
      <c r="D22" s="1" t="n">
        <v>250000</v>
      </c>
      <c r="E22" s="1" t="n">
        <v>7.5</v>
      </c>
      <c r="F22" s="1" t="n">
        <v>20</v>
      </c>
      <c r="G22" s="1" t="s">
        <v>109</v>
      </c>
      <c r="H22" s="1" t="s">
        <v>47</v>
      </c>
      <c r="I22" s="50" t="n">
        <v>2013.98</v>
      </c>
      <c r="J22" s="1" t="n">
        <v>233355.92</v>
      </c>
      <c r="K22" s="1" t="n">
        <v>483355.92</v>
      </c>
    </row>
    <row r="23" customFormat="false" ht="14.25" hidden="false" customHeight="true" outlineLevel="0" collapsed="false">
      <c r="A23" s="1" t="s">
        <v>110</v>
      </c>
      <c r="B23" s="1" t="s">
        <v>79</v>
      </c>
      <c r="C23" s="1" t="s">
        <v>41</v>
      </c>
      <c r="D23" s="1" t="n">
        <v>450000</v>
      </c>
      <c r="E23" s="1" t="n">
        <v>12.5</v>
      </c>
      <c r="F23" s="1" t="n">
        <v>20</v>
      </c>
      <c r="G23" s="1" t="s">
        <v>111</v>
      </c>
      <c r="H23" s="1" t="s">
        <v>36</v>
      </c>
      <c r="I23" s="50" t="n">
        <v>5112.63</v>
      </c>
      <c r="J23" s="1" t="n">
        <v>777031.79</v>
      </c>
      <c r="K23" s="1" t="n">
        <v>1227031.79</v>
      </c>
    </row>
    <row r="24" customFormat="false" ht="14.25" hidden="false" customHeight="true" outlineLevel="0" collapsed="false">
      <c r="A24" s="1" t="s">
        <v>112</v>
      </c>
      <c r="B24" s="1" t="s">
        <v>113</v>
      </c>
      <c r="C24" s="1" t="s">
        <v>41</v>
      </c>
      <c r="D24" s="1" t="n">
        <v>1500000</v>
      </c>
      <c r="E24" s="1" t="n">
        <v>11</v>
      </c>
      <c r="F24" s="1" t="n">
        <v>5</v>
      </c>
      <c r="G24" s="1" t="s">
        <v>114</v>
      </c>
      <c r="H24" s="1" t="s">
        <v>36</v>
      </c>
      <c r="I24" s="50" t="n">
        <v>32613.63</v>
      </c>
      <c r="J24" s="1" t="n">
        <v>456818.08</v>
      </c>
      <c r="K24" s="1" t="n">
        <v>1956818.08</v>
      </c>
    </row>
    <row r="25" customFormat="false" ht="14.25" hidden="false" customHeight="true" outlineLevel="0" collapsed="false">
      <c r="A25" s="1" t="s">
        <v>115</v>
      </c>
      <c r="B25" s="1" t="s">
        <v>82</v>
      </c>
      <c r="C25" s="1" t="s">
        <v>43</v>
      </c>
      <c r="D25" s="1" t="n">
        <v>500000</v>
      </c>
      <c r="E25" s="1" t="n">
        <v>11</v>
      </c>
      <c r="F25" s="1" t="n">
        <v>7</v>
      </c>
      <c r="G25" s="1" t="s">
        <v>116</v>
      </c>
      <c r="H25" s="1" t="s">
        <v>38</v>
      </c>
      <c r="I25" s="50" t="n">
        <v>8561.22</v>
      </c>
      <c r="J25" s="1" t="n">
        <v>219142.33</v>
      </c>
      <c r="K25" s="1" t="n">
        <v>719142.33</v>
      </c>
    </row>
    <row r="26" customFormat="false" ht="14.25" hidden="false" customHeight="true" outlineLevel="0" collapsed="false">
      <c r="A26" s="1" t="s">
        <v>117</v>
      </c>
      <c r="B26" s="1" t="s">
        <v>82</v>
      </c>
      <c r="C26" s="1" t="s">
        <v>37</v>
      </c>
      <c r="D26" s="1" t="n">
        <v>500000</v>
      </c>
      <c r="E26" s="1" t="n">
        <v>11</v>
      </c>
      <c r="F26" s="1" t="n">
        <v>20</v>
      </c>
      <c r="G26" s="1" t="s">
        <v>118</v>
      </c>
      <c r="H26" s="1" t="s">
        <v>47</v>
      </c>
      <c r="I26" s="50" t="n">
        <v>5160.94</v>
      </c>
      <c r="J26" s="1" t="n">
        <v>738626.07</v>
      </c>
      <c r="K26" s="1" t="n">
        <v>1238626.07</v>
      </c>
    </row>
    <row r="27" customFormat="false" ht="14.25" hidden="false" customHeight="true" outlineLevel="0" collapsed="false">
      <c r="A27" s="1" t="s">
        <v>119</v>
      </c>
      <c r="B27" s="1" t="s">
        <v>82</v>
      </c>
      <c r="C27" s="1" t="s">
        <v>37</v>
      </c>
      <c r="D27" s="1" t="n">
        <v>750000</v>
      </c>
      <c r="E27" s="1" t="n">
        <v>11</v>
      </c>
      <c r="F27" s="1" t="n">
        <v>20</v>
      </c>
      <c r="G27" s="1" t="s">
        <v>120</v>
      </c>
      <c r="H27" s="1" t="s">
        <v>46</v>
      </c>
      <c r="I27" s="50" t="n">
        <v>7741.41</v>
      </c>
      <c r="J27" s="1" t="n">
        <v>1107939.11</v>
      </c>
      <c r="K27" s="1" t="n">
        <v>1857939.11</v>
      </c>
    </row>
    <row r="28" customFormat="false" ht="14.25" hidden="false" customHeight="true" outlineLevel="0" collapsed="false">
      <c r="A28" s="1" t="s">
        <v>121</v>
      </c>
      <c r="B28" s="1" t="s">
        <v>61</v>
      </c>
      <c r="C28" s="1" t="s">
        <v>41</v>
      </c>
      <c r="D28" s="1" t="n">
        <v>1500000</v>
      </c>
      <c r="E28" s="1" t="n">
        <v>12.5</v>
      </c>
      <c r="F28" s="1" t="n">
        <v>7</v>
      </c>
      <c r="G28" s="1" t="s">
        <v>122</v>
      </c>
      <c r="H28" s="1" t="s">
        <v>36</v>
      </c>
      <c r="I28" s="50" t="n">
        <v>26881.86</v>
      </c>
      <c r="J28" s="1" t="n">
        <v>758076.04</v>
      </c>
      <c r="K28" s="1" t="n">
        <v>2258076.04</v>
      </c>
    </row>
    <row r="29" customFormat="false" ht="14.25" hidden="false" customHeight="true" outlineLevel="0" collapsed="false">
      <c r="A29" s="1" t="s">
        <v>123</v>
      </c>
      <c r="B29" s="1" t="s">
        <v>74</v>
      </c>
      <c r="C29" s="1" t="s">
        <v>41</v>
      </c>
      <c r="D29" s="1" t="n">
        <v>900000</v>
      </c>
      <c r="E29" s="1" t="n">
        <v>8.5</v>
      </c>
      <c r="F29" s="1" t="n">
        <v>10</v>
      </c>
      <c r="G29" s="1" t="s">
        <v>124</v>
      </c>
      <c r="H29" s="1" t="s">
        <v>42</v>
      </c>
      <c r="I29" s="50" t="n">
        <v>11158.71</v>
      </c>
      <c r="J29" s="1" t="n">
        <v>439045.44</v>
      </c>
      <c r="K29" s="1" t="n">
        <v>1339045.44</v>
      </c>
    </row>
    <row r="30" customFormat="false" ht="14.25" hidden="false" customHeight="true" outlineLevel="0" collapsed="false">
      <c r="A30" s="1" t="s">
        <v>125</v>
      </c>
      <c r="B30" s="1" t="s">
        <v>74</v>
      </c>
      <c r="C30" s="1" t="s">
        <v>37</v>
      </c>
      <c r="D30" s="1" t="n">
        <v>500000</v>
      </c>
      <c r="E30" s="1" t="n">
        <v>9.5</v>
      </c>
      <c r="F30" s="1" t="n">
        <v>7</v>
      </c>
      <c r="G30" s="1" t="s">
        <v>120</v>
      </c>
      <c r="H30" s="1" t="s">
        <v>36</v>
      </c>
      <c r="I30" s="50" t="n">
        <v>8171.99</v>
      </c>
      <c r="J30" s="1" t="n">
        <v>186447.23</v>
      </c>
      <c r="K30" s="1" t="n">
        <v>686447.23</v>
      </c>
    </row>
    <row r="31" customFormat="false" ht="14.25" hidden="false" customHeight="true" outlineLevel="0" collapsed="false">
      <c r="A31" s="1" t="s">
        <v>126</v>
      </c>
      <c r="B31" s="1" t="s">
        <v>61</v>
      </c>
      <c r="C31" s="1" t="s">
        <v>35</v>
      </c>
      <c r="D31" s="1" t="n">
        <v>900000</v>
      </c>
      <c r="E31" s="1" t="n">
        <v>9</v>
      </c>
      <c r="F31" s="1" t="n">
        <v>25</v>
      </c>
      <c r="G31" s="1" t="s">
        <v>127</v>
      </c>
      <c r="H31" s="1" t="s">
        <v>36</v>
      </c>
      <c r="I31" s="50" t="n">
        <v>7552.77</v>
      </c>
      <c r="J31" s="1" t="n">
        <v>1365830.18</v>
      </c>
      <c r="K31" s="1" t="n">
        <v>2265830.18</v>
      </c>
    </row>
    <row r="32" customFormat="false" ht="14.25" hidden="false" customHeight="true" outlineLevel="0" collapsed="false">
      <c r="A32" s="1" t="s">
        <v>128</v>
      </c>
      <c r="B32" s="1" t="s">
        <v>64</v>
      </c>
      <c r="C32" s="1" t="s">
        <v>35</v>
      </c>
      <c r="D32" s="1" t="n">
        <v>1500000</v>
      </c>
      <c r="E32" s="1" t="n">
        <v>12.5</v>
      </c>
      <c r="F32" s="1" t="n">
        <v>3</v>
      </c>
      <c r="G32" s="1" t="s">
        <v>129</v>
      </c>
      <c r="H32" s="1" t="s">
        <v>47</v>
      </c>
      <c r="I32" s="50" t="n">
        <v>50180.44</v>
      </c>
      <c r="J32" s="1" t="n">
        <v>306495.78</v>
      </c>
      <c r="K32" s="1" t="n">
        <v>1806495.78</v>
      </c>
    </row>
    <row r="33" customFormat="false" ht="14.25" hidden="false" customHeight="true" outlineLevel="0" collapsed="false">
      <c r="A33" s="1" t="s">
        <v>130</v>
      </c>
      <c r="B33" s="1" t="s">
        <v>113</v>
      </c>
      <c r="C33" s="1" t="s">
        <v>37</v>
      </c>
      <c r="D33" s="1" t="n">
        <v>450000</v>
      </c>
      <c r="E33" s="1" t="n">
        <v>9</v>
      </c>
      <c r="F33" s="1" t="n">
        <v>10</v>
      </c>
      <c r="G33" s="1" t="s">
        <v>131</v>
      </c>
      <c r="H33" s="1" t="s">
        <v>36</v>
      </c>
      <c r="I33" s="50" t="n">
        <v>5700.41</v>
      </c>
      <c r="J33" s="1" t="n">
        <v>234049.18</v>
      </c>
      <c r="K33" s="1" t="n">
        <v>684049.18</v>
      </c>
    </row>
    <row r="34" customFormat="false" ht="14.25" hidden="false" customHeight="true" outlineLevel="0" collapsed="false">
      <c r="A34" s="1" t="s">
        <v>132</v>
      </c>
      <c r="B34" s="1" t="s">
        <v>79</v>
      </c>
      <c r="C34" s="1" t="s">
        <v>41</v>
      </c>
      <c r="D34" s="1" t="n">
        <v>500000</v>
      </c>
      <c r="E34" s="1" t="n">
        <v>8.2</v>
      </c>
      <c r="F34" s="1" t="n">
        <v>25</v>
      </c>
      <c r="G34" s="1" t="s">
        <v>133</v>
      </c>
      <c r="H34" s="1" t="s">
        <v>38</v>
      </c>
      <c r="I34" s="50" t="n">
        <v>3925.56</v>
      </c>
      <c r="J34" s="1" t="n">
        <v>677667.7</v>
      </c>
      <c r="K34" s="1" t="n">
        <v>1177667.7</v>
      </c>
    </row>
    <row r="35" customFormat="false" ht="14.25" hidden="false" customHeight="true" outlineLevel="0" collapsed="false">
      <c r="A35" s="1" t="s">
        <v>134</v>
      </c>
      <c r="B35" s="1" t="s">
        <v>96</v>
      </c>
      <c r="C35" s="1" t="s">
        <v>35</v>
      </c>
      <c r="D35" s="1" t="n">
        <v>900000</v>
      </c>
      <c r="E35" s="1" t="n">
        <v>9.5</v>
      </c>
      <c r="F35" s="1" t="n">
        <v>10</v>
      </c>
      <c r="G35" s="1" t="s">
        <v>135</v>
      </c>
      <c r="H35" s="1" t="s">
        <v>44</v>
      </c>
      <c r="I35" s="50" t="n">
        <v>11645.78</v>
      </c>
      <c r="J35" s="1" t="n">
        <v>497493.62</v>
      </c>
      <c r="K35" s="1" t="n">
        <v>1397493.62</v>
      </c>
    </row>
    <row r="36" customFormat="false" ht="14.25" hidden="false" customHeight="true" outlineLevel="0" collapsed="false">
      <c r="A36" s="1" t="s">
        <v>136</v>
      </c>
      <c r="B36" s="1" t="s">
        <v>113</v>
      </c>
      <c r="C36" s="1" t="s">
        <v>41</v>
      </c>
      <c r="D36" s="1" t="n">
        <v>250000</v>
      </c>
      <c r="E36" s="1" t="n">
        <v>10.2</v>
      </c>
      <c r="F36" s="1" t="n">
        <v>20</v>
      </c>
      <c r="G36" s="1" t="s">
        <v>137</v>
      </c>
      <c r="H36" s="1" t="s">
        <v>42</v>
      </c>
      <c r="I36" s="50" t="n">
        <v>2445.77</v>
      </c>
      <c r="J36" s="1" t="n">
        <v>336985.87</v>
      </c>
      <c r="K36" s="1" t="n">
        <v>586985.87</v>
      </c>
    </row>
    <row r="37" customFormat="false" ht="14.25" hidden="false" customHeight="true" outlineLevel="0" collapsed="false">
      <c r="A37" s="1" t="s">
        <v>138</v>
      </c>
      <c r="B37" s="1" t="s">
        <v>113</v>
      </c>
      <c r="C37" s="1" t="s">
        <v>43</v>
      </c>
      <c r="D37" s="1" t="n">
        <v>300000</v>
      </c>
      <c r="E37" s="1" t="n">
        <v>9.5</v>
      </c>
      <c r="F37" s="1" t="n">
        <v>5</v>
      </c>
      <c r="G37" s="1" t="s">
        <v>83</v>
      </c>
      <c r="H37" s="1" t="s">
        <v>47</v>
      </c>
      <c r="I37" s="50" t="n">
        <v>6300.56</v>
      </c>
      <c r="J37" s="1" t="n">
        <v>78033.5</v>
      </c>
      <c r="K37" s="1" t="n">
        <v>378033.5</v>
      </c>
    </row>
    <row r="38" customFormat="false" ht="14.25" hidden="false" customHeight="true" outlineLevel="0" collapsed="false">
      <c r="A38" s="1" t="s">
        <v>139</v>
      </c>
      <c r="B38" s="1" t="s">
        <v>140</v>
      </c>
      <c r="C38" s="1" t="s">
        <v>37</v>
      </c>
      <c r="D38" s="1" t="n">
        <v>250000</v>
      </c>
      <c r="E38" s="1" t="n">
        <v>11</v>
      </c>
      <c r="F38" s="1" t="n">
        <v>15</v>
      </c>
      <c r="G38" s="1" t="s">
        <v>141</v>
      </c>
      <c r="H38" s="1" t="s">
        <v>46</v>
      </c>
      <c r="I38" s="50" t="n">
        <v>2841.49</v>
      </c>
      <c r="J38" s="1" t="n">
        <v>261468.62</v>
      </c>
      <c r="K38" s="1" t="n">
        <v>511468.62</v>
      </c>
    </row>
    <row r="39" customFormat="false" ht="14.25" hidden="false" customHeight="true" outlineLevel="0" collapsed="false">
      <c r="A39" s="1" t="s">
        <v>142</v>
      </c>
      <c r="B39" s="1" t="s">
        <v>82</v>
      </c>
      <c r="C39" s="1" t="s">
        <v>37</v>
      </c>
      <c r="D39" s="1" t="n">
        <v>900000</v>
      </c>
      <c r="E39" s="1" t="n">
        <v>11</v>
      </c>
      <c r="F39" s="1" t="n">
        <v>10</v>
      </c>
      <c r="G39" s="1" t="s">
        <v>143</v>
      </c>
      <c r="H39" s="1" t="s">
        <v>44</v>
      </c>
      <c r="I39" s="50" t="n">
        <v>12397.5</v>
      </c>
      <c r="J39" s="1" t="n">
        <v>587700.12</v>
      </c>
      <c r="K39" s="1" t="n">
        <v>1487700.12</v>
      </c>
    </row>
    <row r="40" customFormat="false" ht="14.25" hidden="false" customHeight="true" outlineLevel="0" collapsed="false">
      <c r="A40" s="1" t="s">
        <v>144</v>
      </c>
      <c r="B40" s="1" t="s">
        <v>67</v>
      </c>
      <c r="C40" s="1" t="s">
        <v>43</v>
      </c>
      <c r="D40" s="1" t="n">
        <v>750000</v>
      </c>
      <c r="E40" s="1" t="n">
        <v>9.5</v>
      </c>
      <c r="F40" s="1" t="n">
        <v>20</v>
      </c>
      <c r="G40" s="1" t="s">
        <v>145</v>
      </c>
      <c r="H40" s="1" t="s">
        <v>42</v>
      </c>
      <c r="I40" s="50" t="n">
        <v>6990.98</v>
      </c>
      <c r="J40" s="1" t="n">
        <v>927836.14</v>
      </c>
      <c r="K40" s="1" t="n">
        <v>1677836.14</v>
      </c>
    </row>
    <row r="41" customFormat="false" ht="14.25" hidden="false" customHeight="true" outlineLevel="0" collapsed="false">
      <c r="A41" s="1" t="s">
        <v>146</v>
      </c>
      <c r="B41" s="1" t="s">
        <v>82</v>
      </c>
      <c r="C41" s="1" t="s">
        <v>43</v>
      </c>
      <c r="D41" s="1" t="n">
        <v>300000</v>
      </c>
      <c r="E41" s="1" t="n">
        <v>7.5</v>
      </c>
      <c r="F41" s="1" t="n">
        <v>15</v>
      </c>
      <c r="G41" s="1" t="s">
        <v>147</v>
      </c>
      <c r="H41" s="1" t="s">
        <v>36</v>
      </c>
      <c r="I41" s="50" t="n">
        <v>2781.04</v>
      </c>
      <c r="J41" s="1" t="n">
        <v>200586.67</v>
      </c>
      <c r="K41" s="1" t="n">
        <v>500586.67</v>
      </c>
    </row>
    <row r="42" customFormat="false" ht="14.25" hidden="false" customHeight="true" outlineLevel="0" collapsed="false">
      <c r="A42" s="1" t="s">
        <v>148</v>
      </c>
      <c r="B42" s="1" t="s">
        <v>74</v>
      </c>
      <c r="C42" s="1" t="s">
        <v>35</v>
      </c>
      <c r="D42" s="1" t="n">
        <v>1200000</v>
      </c>
      <c r="E42" s="1" t="n">
        <v>12.5</v>
      </c>
      <c r="F42" s="1" t="n">
        <v>25</v>
      </c>
      <c r="G42" s="1" t="s">
        <v>149</v>
      </c>
      <c r="H42" s="1" t="s">
        <v>38</v>
      </c>
      <c r="I42" s="50" t="n">
        <v>13084.25</v>
      </c>
      <c r="J42" s="1" t="n">
        <v>2725274.89</v>
      </c>
      <c r="K42" s="1" t="n">
        <v>3925274.89</v>
      </c>
    </row>
    <row r="43" customFormat="false" ht="14.25" hidden="false" customHeight="true" outlineLevel="0" collapsed="false">
      <c r="A43" s="1" t="s">
        <v>150</v>
      </c>
      <c r="B43" s="1" t="s">
        <v>64</v>
      </c>
      <c r="C43" s="1" t="s">
        <v>43</v>
      </c>
      <c r="D43" s="1" t="n">
        <v>750000</v>
      </c>
      <c r="E43" s="1" t="n">
        <v>9</v>
      </c>
      <c r="F43" s="1" t="n">
        <v>15</v>
      </c>
      <c r="G43" s="1" t="s">
        <v>151</v>
      </c>
      <c r="H43" s="1" t="s">
        <v>42</v>
      </c>
      <c r="I43" s="50" t="n">
        <v>7607</v>
      </c>
      <c r="J43" s="1" t="n">
        <v>619259.89</v>
      </c>
      <c r="K43" s="1" t="n">
        <v>1369259.89</v>
      </c>
    </row>
    <row r="44" customFormat="false" ht="14.25" hidden="false" customHeight="true" outlineLevel="0" collapsed="false">
      <c r="A44" s="1" t="s">
        <v>152</v>
      </c>
      <c r="B44" s="1" t="s">
        <v>96</v>
      </c>
      <c r="C44" s="1" t="s">
        <v>37</v>
      </c>
      <c r="D44" s="1" t="n">
        <v>900000</v>
      </c>
      <c r="E44" s="1" t="n">
        <v>7.5</v>
      </c>
      <c r="F44" s="1" t="n">
        <v>20</v>
      </c>
      <c r="G44" s="1" t="s">
        <v>153</v>
      </c>
      <c r="H44" s="1" t="s">
        <v>38</v>
      </c>
      <c r="I44" s="50" t="n">
        <v>7250.34</v>
      </c>
      <c r="J44" s="1" t="n">
        <v>840081.3</v>
      </c>
      <c r="K44" s="1" t="n">
        <v>1740081.3</v>
      </c>
    </row>
    <row r="45" customFormat="false" ht="14.25" hidden="false" customHeight="true" outlineLevel="0" collapsed="false">
      <c r="A45" s="1" t="s">
        <v>154</v>
      </c>
      <c r="B45" s="1" t="s">
        <v>89</v>
      </c>
      <c r="C45" s="1" t="s">
        <v>41</v>
      </c>
      <c r="D45" s="1" t="n">
        <v>250000</v>
      </c>
      <c r="E45" s="1" t="n">
        <v>7.5</v>
      </c>
      <c r="F45" s="1" t="n">
        <v>10</v>
      </c>
      <c r="G45" s="1" t="s">
        <v>155</v>
      </c>
      <c r="H45" s="1" t="s">
        <v>47</v>
      </c>
      <c r="I45" s="50" t="n">
        <v>2967.54</v>
      </c>
      <c r="J45" s="1" t="n">
        <v>106105.31</v>
      </c>
      <c r="K45" s="1" t="n">
        <v>356105.31</v>
      </c>
    </row>
    <row r="46" customFormat="false" ht="14.25" hidden="false" customHeight="true" outlineLevel="0" collapsed="false">
      <c r="A46" s="1" t="s">
        <v>156</v>
      </c>
      <c r="B46" s="1" t="s">
        <v>96</v>
      </c>
      <c r="C46" s="1" t="s">
        <v>37</v>
      </c>
      <c r="D46" s="1" t="n">
        <v>500000</v>
      </c>
      <c r="E46" s="1" t="n">
        <v>11</v>
      </c>
      <c r="F46" s="1" t="n">
        <v>7</v>
      </c>
      <c r="G46" s="1" t="s">
        <v>157</v>
      </c>
      <c r="H46" s="1" t="s">
        <v>46</v>
      </c>
      <c r="I46" s="50" t="n">
        <v>8561.22</v>
      </c>
      <c r="J46" s="1" t="n">
        <v>219142.33</v>
      </c>
      <c r="K46" s="1" t="n">
        <v>719142.33</v>
      </c>
    </row>
    <row r="47" customFormat="false" ht="14.25" hidden="false" customHeight="true" outlineLevel="0" collapsed="false">
      <c r="A47" s="1" t="s">
        <v>158</v>
      </c>
      <c r="B47" s="1" t="s">
        <v>140</v>
      </c>
      <c r="C47" s="1" t="s">
        <v>41</v>
      </c>
      <c r="D47" s="1" t="n">
        <v>1200000</v>
      </c>
      <c r="E47" s="1" t="n">
        <v>8.2</v>
      </c>
      <c r="F47" s="1" t="n">
        <v>3</v>
      </c>
      <c r="G47" s="1" t="s">
        <v>159</v>
      </c>
      <c r="H47" s="1" t="s">
        <v>47</v>
      </c>
      <c r="I47" s="50" t="n">
        <v>37714.45</v>
      </c>
      <c r="J47" s="1" t="n">
        <v>157720.33</v>
      </c>
      <c r="K47" s="1" t="n">
        <v>1357720.33</v>
      </c>
    </row>
    <row r="48" customFormat="false" ht="14.25" hidden="false" customHeight="true" outlineLevel="0" collapsed="false">
      <c r="A48" s="1" t="s">
        <v>160</v>
      </c>
      <c r="B48" s="1" t="s">
        <v>67</v>
      </c>
      <c r="C48" s="1" t="s">
        <v>35</v>
      </c>
      <c r="D48" s="1" t="n">
        <v>900000</v>
      </c>
      <c r="E48" s="1" t="n">
        <v>12.5</v>
      </c>
      <c r="F48" s="1" t="n">
        <v>3</v>
      </c>
      <c r="G48" s="1" t="s">
        <v>161</v>
      </c>
      <c r="H48" s="1" t="s">
        <v>46</v>
      </c>
      <c r="I48" s="50" t="n">
        <v>30108.26</v>
      </c>
      <c r="J48" s="1" t="n">
        <v>183897.47</v>
      </c>
      <c r="K48" s="1" t="n">
        <v>1083897.47</v>
      </c>
    </row>
    <row r="49" customFormat="false" ht="14.25" hidden="false" customHeight="true" outlineLevel="0" collapsed="false">
      <c r="A49" s="1" t="s">
        <v>162</v>
      </c>
      <c r="B49" s="1" t="s">
        <v>64</v>
      </c>
      <c r="C49" s="1" t="s">
        <v>43</v>
      </c>
      <c r="D49" s="1" t="n">
        <v>450000</v>
      </c>
      <c r="E49" s="1" t="n">
        <v>12.5</v>
      </c>
      <c r="F49" s="1" t="n">
        <v>7</v>
      </c>
      <c r="G49" s="1" t="s">
        <v>163</v>
      </c>
      <c r="H49" s="1" t="s">
        <v>38</v>
      </c>
      <c r="I49" s="50" t="n">
        <v>8064.56</v>
      </c>
      <c r="J49" s="1" t="n">
        <v>227422.81</v>
      </c>
      <c r="K49" s="1" t="n">
        <v>677422.81</v>
      </c>
    </row>
    <row r="50" customFormat="false" ht="14.25" hidden="false" customHeight="true" outlineLevel="0" collapsed="false">
      <c r="A50" s="1" t="s">
        <v>164</v>
      </c>
      <c r="B50" s="1" t="s">
        <v>89</v>
      </c>
      <c r="C50" s="1" t="s">
        <v>41</v>
      </c>
      <c r="D50" s="1" t="n">
        <v>750000</v>
      </c>
      <c r="E50" s="1" t="n">
        <v>7.5</v>
      </c>
      <c r="F50" s="1" t="n">
        <v>10</v>
      </c>
      <c r="G50" s="1" t="s">
        <v>165</v>
      </c>
      <c r="H50" s="1" t="s">
        <v>36</v>
      </c>
      <c r="I50" s="50" t="n">
        <v>8902.63</v>
      </c>
      <c r="J50" s="1" t="n">
        <v>318315.92</v>
      </c>
      <c r="K50" s="1" t="n">
        <v>1068315.92</v>
      </c>
    </row>
    <row r="51" customFormat="false" ht="14.25" hidden="false" customHeight="true" outlineLevel="0" collapsed="false">
      <c r="A51" s="1" t="s">
        <v>166</v>
      </c>
      <c r="B51" s="1" t="s">
        <v>140</v>
      </c>
      <c r="C51" s="1" t="s">
        <v>41</v>
      </c>
      <c r="D51" s="1" t="n">
        <v>500000</v>
      </c>
      <c r="E51" s="1" t="n">
        <v>12.5</v>
      </c>
      <c r="F51" s="1" t="n">
        <v>10</v>
      </c>
      <c r="G51" s="1" t="s">
        <v>167</v>
      </c>
      <c r="H51" s="1" t="s">
        <v>36</v>
      </c>
      <c r="I51" s="50" t="n">
        <v>7318.81</v>
      </c>
      <c r="J51" s="1" t="n">
        <v>378257.01</v>
      </c>
      <c r="K51" s="1" t="n">
        <v>878257.01</v>
      </c>
    </row>
    <row r="52" customFormat="false" ht="14.25" hidden="false" customHeight="true" outlineLevel="0" collapsed="false">
      <c r="A52" s="1" t="s">
        <v>168</v>
      </c>
      <c r="B52" s="1" t="s">
        <v>140</v>
      </c>
      <c r="C52" s="1" t="s">
        <v>35</v>
      </c>
      <c r="D52" s="1" t="n">
        <v>2000000</v>
      </c>
      <c r="E52" s="1" t="n">
        <v>9.5</v>
      </c>
      <c r="F52" s="1" t="n">
        <v>15</v>
      </c>
      <c r="G52" s="1" t="s">
        <v>169</v>
      </c>
      <c r="H52" s="1" t="s">
        <v>47</v>
      </c>
      <c r="I52" s="50" t="n">
        <v>20884.49</v>
      </c>
      <c r="J52" s="1" t="n">
        <v>1759208.86</v>
      </c>
      <c r="K52" s="1" t="n">
        <v>3759208.86</v>
      </c>
    </row>
    <row r="53" customFormat="false" ht="14.25" hidden="false" customHeight="true" outlineLevel="0" collapsed="false">
      <c r="A53" s="1" t="s">
        <v>170</v>
      </c>
      <c r="B53" s="1" t="s">
        <v>96</v>
      </c>
      <c r="C53" s="1" t="s">
        <v>37</v>
      </c>
      <c r="D53" s="1" t="n">
        <v>1200000</v>
      </c>
      <c r="E53" s="1" t="n">
        <v>12.5</v>
      </c>
      <c r="F53" s="1" t="n">
        <v>20</v>
      </c>
      <c r="G53" s="1" t="s">
        <v>171</v>
      </c>
      <c r="H53" s="1" t="s">
        <v>44</v>
      </c>
      <c r="I53" s="50" t="n">
        <v>13633.69</v>
      </c>
      <c r="J53" s="1" t="n">
        <v>2072084.78</v>
      </c>
      <c r="K53" s="1" t="n">
        <v>3272084.78</v>
      </c>
    </row>
    <row r="54" customFormat="false" ht="14.25" hidden="false" customHeight="true" outlineLevel="0" collapsed="false">
      <c r="A54" s="1" t="s">
        <v>172</v>
      </c>
      <c r="B54" s="1" t="s">
        <v>89</v>
      </c>
      <c r="C54" s="1" t="s">
        <v>43</v>
      </c>
      <c r="D54" s="1" t="n">
        <v>2000000</v>
      </c>
      <c r="E54" s="1" t="n">
        <v>9</v>
      </c>
      <c r="F54" s="1" t="n">
        <v>3</v>
      </c>
      <c r="G54" s="1" t="s">
        <v>151</v>
      </c>
      <c r="H54" s="1" t="s">
        <v>47</v>
      </c>
      <c r="I54" s="50" t="n">
        <v>63599.47</v>
      </c>
      <c r="J54" s="1" t="n">
        <v>289580.75</v>
      </c>
      <c r="K54" s="1" t="n">
        <v>2289580.75</v>
      </c>
    </row>
    <row r="55" customFormat="false" ht="14.25" hidden="false" customHeight="true" outlineLevel="0" collapsed="false">
      <c r="A55" s="1" t="s">
        <v>173</v>
      </c>
      <c r="B55" s="1" t="s">
        <v>82</v>
      </c>
      <c r="C55" s="1" t="s">
        <v>43</v>
      </c>
      <c r="D55" s="1" t="n">
        <v>300000</v>
      </c>
      <c r="E55" s="1" t="n">
        <v>9.5</v>
      </c>
      <c r="F55" s="1" t="n">
        <v>20</v>
      </c>
      <c r="G55" s="1" t="s">
        <v>174</v>
      </c>
      <c r="H55" s="1" t="s">
        <v>44</v>
      </c>
      <c r="I55" s="50" t="n">
        <v>2796.39</v>
      </c>
      <c r="J55" s="1" t="n">
        <v>371134.46</v>
      </c>
      <c r="K55" s="1" t="n">
        <v>671134.46</v>
      </c>
    </row>
    <row r="56" customFormat="false" ht="14.25" hidden="false" customHeight="true" outlineLevel="0" collapsed="false">
      <c r="A56" s="1" t="s">
        <v>175</v>
      </c>
      <c r="B56" s="1" t="s">
        <v>89</v>
      </c>
      <c r="C56" s="1" t="s">
        <v>41</v>
      </c>
      <c r="D56" s="1" t="n">
        <v>900000</v>
      </c>
      <c r="E56" s="1" t="n">
        <v>8.2</v>
      </c>
      <c r="F56" s="1" t="n">
        <v>20</v>
      </c>
      <c r="G56" s="1" t="s">
        <v>176</v>
      </c>
      <c r="H56" s="1" t="s">
        <v>44</v>
      </c>
      <c r="I56" s="50" t="n">
        <v>7640.37</v>
      </c>
      <c r="J56" s="1" t="n">
        <v>933688.6</v>
      </c>
      <c r="K56" s="1" t="n">
        <v>1833688.6</v>
      </c>
    </row>
    <row r="57" customFormat="false" ht="14.25" hidden="false" customHeight="true" outlineLevel="0" collapsed="false">
      <c r="A57" s="1" t="s">
        <v>177</v>
      </c>
      <c r="B57" s="1" t="s">
        <v>140</v>
      </c>
      <c r="C57" s="1" t="s">
        <v>41</v>
      </c>
      <c r="D57" s="1" t="n">
        <v>2000000</v>
      </c>
      <c r="E57" s="1" t="n">
        <v>12.5</v>
      </c>
      <c r="F57" s="1" t="n">
        <v>15</v>
      </c>
      <c r="G57" s="1" t="s">
        <v>178</v>
      </c>
      <c r="H57" s="1" t="s">
        <v>42</v>
      </c>
      <c r="I57" s="50" t="n">
        <v>24650.44</v>
      </c>
      <c r="J57" s="1" t="n">
        <v>2437079.5</v>
      </c>
      <c r="K57" s="1" t="n">
        <v>4437079.5</v>
      </c>
    </row>
    <row r="58" customFormat="false" ht="14.25" hidden="false" customHeight="true" outlineLevel="0" collapsed="false">
      <c r="A58" s="1" t="s">
        <v>179</v>
      </c>
      <c r="B58" s="1" t="s">
        <v>67</v>
      </c>
      <c r="C58" s="1" t="s">
        <v>41</v>
      </c>
      <c r="D58" s="1" t="n">
        <v>450000</v>
      </c>
      <c r="E58" s="1" t="n">
        <v>7.5</v>
      </c>
      <c r="F58" s="1" t="n">
        <v>7</v>
      </c>
      <c r="G58" s="1" t="s">
        <v>180</v>
      </c>
      <c r="H58" s="1" t="s">
        <v>46</v>
      </c>
      <c r="I58" s="50" t="n">
        <v>6902.22</v>
      </c>
      <c r="J58" s="1" t="n">
        <v>129786.83</v>
      </c>
      <c r="K58" s="1" t="n">
        <v>579786.83</v>
      </c>
    </row>
    <row r="59" customFormat="false" ht="14.25" hidden="false" customHeight="true" outlineLevel="0" collapsed="false">
      <c r="A59" s="1" t="s">
        <v>181</v>
      </c>
      <c r="B59" s="1" t="s">
        <v>89</v>
      </c>
      <c r="C59" s="1" t="s">
        <v>37</v>
      </c>
      <c r="D59" s="1" t="n">
        <v>250000</v>
      </c>
      <c r="E59" s="1" t="n">
        <v>9</v>
      </c>
      <c r="F59" s="1" t="n">
        <v>7</v>
      </c>
      <c r="G59" s="1" t="s">
        <v>182</v>
      </c>
      <c r="H59" s="1" t="s">
        <v>44</v>
      </c>
      <c r="I59" s="50" t="n">
        <v>4022.27</v>
      </c>
      <c r="J59" s="1" t="n">
        <v>87870.64</v>
      </c>
      <c r="K59" s="1" t="n">
        <v>337870.64</v>
      </c>
    </row>
    <row r="60" customFormat="false" ht="14.25" hidden="false" customHeight="true" outlineLevel="0" collapsed="false">
      <c r="A60" s="1" t="s">
        <v>183</v>
      </c>
      <c r="B60" s="1" t="s">
        <v>96</v>
      </c>
      <c r="C60" s="1" t="s">
        <v>41</v>
      </c>
      <c r="D60" s="1" t="n">
        <v>750000</v>
      </c>
      <c r="E60" s="1" t="n">
        <v>7.5</v>
      </c>
      <c r="F60" s="1" t="n">
        <v>15</v>
      </c>
      <c r="G60" s="1" t="s">
        <v>70</v>
      </c>
      <c r="H60" s="1" t="s">
        <v>42</v>
      </c>
      <c r="I60" s="50" t="n">
        <v>6952.59</v>
      </c>
      <c r="J60" s="1" t="n">
        <v>501466.69</v>
      </c>
      <c r="K60" s="1" t="n">
        <v>1251466.69</v>
      </c>
    </row>
    <row r="61" customFormat="false" ht="14.25" hidden="false" customHeight="true" outlineLevel="0" collapsed="false">
      <c r="A61" s="1" t="s">
        <v>184</v>
      </c>
      <c r="B61" s="1" t="s">
        <v>79</v>
      </c>
      <c r="C61" s="1" t="s">
        <v>41</v>
      </c>
      <c r="D61" s="1" t="n">
        <v>900000</v>
      </c>
      <c r="E61" s="1" t="n">
        <v>10.2</v>
      </c>
      <c r="F61" s="1" t="n">
        <v>5</v>
      </c>
      <c r="G61" s="1" t="s">
        <v>185</v>
      </c>
      <c r="H61" s="1" t="s">
        <v>44</v>
      </c>
      <c r="I61" s="50" t="n">
        <v>19211.03</v>
      </c>
      <c r="J61" s="1" t="n">
        <v>252661.68</v>
      </c>
      <c r="K61" s="1" t="n">
        <v>1152661.68</v>
      </c>
    </row>
    <row r="62" customFormat="false" ht="14.25" hidden="false" customHeight="true" outlineLevel="0" collapsed="false">
      <c r="A62" s="1" t="s">
        <v>186</v>
      </c>
      <c r="B62" s="1" t="s">
        <v>113</v>
      </c>
      <c r="C62" s="1" t="s">
        <v>41</v>
      </c>
      <c r="D62" s="1" t="n">
        <v>500000</v>
      </c>
      <c r="E62" s="1" t="n">
        <v>8.5</v>
      </c>
      <c r="F62" s="1" t="n">
        <v>5</v>
      </c>
      <c r="G62" s="1" t="s">
        <v>187</v>
      </c>
      <c r="H62" s="1" t="s">
        <v>42</v>
      </c>
      <c r="I62" s="50" t="n">
        <v>10258.27</v>
      </c>
      <c r="J62" s="1" t="n">
        <v>115495.94</v>
      </c>
      <c r="K62" s="1" t="n">
        <v>615495.94</v>
      </c>
    </row>
    <row r="63" customFormat="false" ht="14.25" hidden="false" customHeight="true" outlineLevel="0" collapsed="false">
      <c r="A63" s="1" t="s">
        <v>188</v>
      </c>
      <c r="B63" s="1" t="s">
        <v>140</v>
      </c>
      <c r="C63" s="1" t="s">
        <v>43</v>
      </c>
      <c r="D63" s="1" t="n">
        <v>1500000</v>
      </c>
      <c r="E63" s="1" t="n">
        <v>8.2</v>
      </c>
      <c r="F63" s="1" t="n">
        <v>3</v>
      </c>
      <c r="G63" s="1" t="s">
        <v>189</v>
      </c>
      <c r="H63" s="1" t="s">
        <v>36</v>
      </c>
      <c r="I63" s="50" t="n">
        <v>47143.07</v>
      </c>
      <c r="J63" s="1" t="n">
        <v>197150.41</v>
      </c>
      <c r="K63" s="1" t="n">
        <v>1697150.41</v>
      </c>
    </row>
    <row r="64" customFormat="false" ht="14.25" hidden="false" customHeight="true" outlineLevel="0" collapsed="false">
      <c r="A64" s="1" t="s">
        <v>190</v>
      </c>
      <c r="B64" s="1" t="s">
        <v>82</v>
      </c>
      <c r="C64" s="1" t="s">
        <v>37</v>
      </c>
      <c r="D64" s="1" t="n">
        <v>1500000</v>
      </c>
      <c r="E64" s="1" t="n">
        <v>7.5</v>
      </c>
      <c r="F64" s="1" t="n">
        <v>7</v>
      </c>
      <c r="G64" s="1" t="s">
        <v>191</v>
      </c>
      <c r="H64" s="1" t="s">
        <v>36</v>
      </c>
      <c r="I64" s="50" t="n">
        <v>23007.41</v>
      </c>
      <c r="J64" s="1" t="n">
        <v>432622.76</v>
      </c>
      <c r="K64" s="1" t="n">
        <v>1932622.76</v>
      </c>
    </row>
    <row r="65" customFormat="false" ht="14.25" hidden="false" customHeight="true" outlineLevel="0" collapsed="false">
      <c r="A65" s="1" t="s">
        <v>192</v>
      </c>
      <c r="B65" s="1" t="s">
        <v>140</v>
      </c>
      <c r="C65" s="1" t="s">
        <v>37</v>
      </c>
      <c r="D65" s="1" t="n">
        <v>750000</v>
      </c>
      <c r="E65" s="1" t="n">
        <v>7.5</v>
      </c>
      <c r="F65" s="1" t="n">
        <v>10</v>
      </c>
      <c r="G65" s="1" t="s">
        <v>193</v>
      </c>
      <c r="H65" s="1" t="s">
        <v>44</v>
      </c>
      <c r="I65" s="50" t="n">
        <v>8902.63</v>
      </c>
      <c r="J65" s="1" t="n">
        <v>318315.92</v>
      </c>
      <c r="K65" s="1" t="n">
        <v>1068315.92</v>
      </c>
    </row>
    <row r="66" customFormat="false" ht="14.25" hidden="false" customHeight="true" outlineLevel="0" collapsed="false">
      <c r="A66" s="1" t="s">
        <v>194</v>
      </c>
      <c r="B66" s="1" t="s">
        <v>64</v>
      </c>
      <c r="C66" s="1" t="s">
        <v>37</v>
      </c>
      <c r="D66" s="1" t="n">
        <v>2000000</v>
      </c>
      <c r="E66" s="1" t="n">
        <v>10.2</v>
      </c>
      <c r="F66" s="1" t="n">
        <v>7</v>
      </c>
      <c r="G66" s="1" t="s">
        <v>195</v>
      </c>
      <c r="H66" s="1" t="s">
        <v>36</v>
      </c>
      <c r="I66" s="50" t="n">
        <v>33409.41</v>
      </c>
      <c r="J66" s="1" t="n">
        <v>806390.6</v>
      </c>
      <c r="K66" s="1" t="n">
        <v>2806390.6</v>
      </c>
    </row>
    <row r="67" customFormat="false" ht="14.25" hidden="false" customHeight="true" outlineLevel="0" collapsed="false">
      <c r="A67" s="1" t="s">
        <v>196</v>
      </c>
      <c r="B67" s="1" t="s">
        <v>140</v>
      </c>
      <c r="C67" s="1" t="s">
        <v>41</v>
      </c>
      <c r="D67" s="1" t="n">
        <v>1500000</v>
      </c>
      <c r="E67" s="1" t="n">
        <v>9.5</v>
      </c>
      <c r="F67" s="1" t="n">
        <v>25</v>
      </c>
      <c r="G67" s="1" t="s">
        <v>197</v>
      </c>
      <c r="H67" s="1" t="s">
        <v>42</v>
      </c>
      <c r="I67" s="50" t="n">
        <v>13105.45</v>
      </c>
      <c r="J67" s="1" t="n">
        <v>2431634.97</v>
      </c>
      <c r="K67" s="1" t="n">
        <v>3931634.97</v>
      </c>
    </row>
    <row r="68" customFormat="false" ht="14.25" hidden="false" customHeight="true" outlineLevel="0" collapsed="false">
      <c r="A68" s="1" t="s">
        <v>198</v>
      </c>
      <c r="B68" s="1" t="s">
        <v>113</v>
      </c>
      <c r="C68" s="1" t="s">
        <v>35</v>
      </c>
      <c r="D68" s="1" t="n">
        <v>2000000</v>
      </c>
      <c r="E68" s="1" t="n">
        <v>8.2</v>
      </c>
      <c r="F68" s="1" t="n">
        <v>10</v>
      </c>
      <c r="G68" s="1" t="s">
        <v>174</v>
      </c>
      <c r="H68" s="1" t="s">
        <v>47</v>
      </c>
      <c r="I68" s="50" t="n">
        <v>24477.4</v>
      </c>
      <c r="J68" s="1" t="n">
        <v>937287.4</v>
      </c>
      <c r="K68" s="1" t="n">
        <v>2937287.4</v>
      </c>
    </row>
    <row r="69" customFormat="false" ht="14.25" hidden="false" customHeight="true" outlineLevel="0" collapsed="false">
      <c r="A69" s="1" t="s">
        <v>199</v>
      </c>
      <c r="B69" s="1" t="s">
        <v>140</v>
      </c>
      <c r="C69" s="1" t="s">
        <v>37</v>
      </c>
      <c r="D69" s="1" t="n">
        <v>2000000</v>
      </c>
      <c r="E69" s="1" t="n">
        <v>12.5</v>
      </c>
      <c r="F69" s="1" t="n">
        <v>10</v>
      </c>
      <c r="G69" s="1" t="s">
        <v>200</v>
      </c>
      <c r="H69" s="1" t="s">
        <v>42</v>
      </c>
      <c r="I69" s="50" t="n">
        <v>29275.23</v>
      </c>
      <c r="J69" s="1" t="n">
        <v>1513028.05</v>
      </c>
      <c r="K69" s="1" t="n">
        <v>3513028.05</v>
      </c>
    </row>
    <row r="70" customFormat="false" ht="14.25" hidden="false" customHeight="true" outlineLevel="0" collapsed="false">
      <c r="A70" s="1" t="s">
        <v>201</v>
      </c>
      <c r="B70" s="1" t="s">
        <v>79</v>
      </c>
      <c r="C70" s="1" t="s">
        <v>41</v>
      </c>
      <c r="D70" s="1" t="n">
        <v>250000</v>
      </c>
      <c r="E70" s="1" t="n">
        <v>8.5</v>
      </c>
      <c r="F70" s="1" t="n">
        <v>10</v>
      </c>
      <c r="G70" s="1" t="s">
        <v>202</v>
      </c>
      <c r="H70" s="1" t="s">
        <v>36</v>
      </c>
      <c r="I70" s="50" t="n">
        <v>3099.64</v>
      </c>
      <c r="J70" s="1" t="n">
        <v>121957.07</v>
      </c>
      <c r="K70" s="1" t="n">
        <v>371957.07</v>
      </c>
    </row>
    <row r="71" customFormat="false" ht="14.25" hidden="false" customHeight="true" outlineLevel="0" collapsed="false">
      <c r="A71" s="1" t="s">
        <v>203</v>
      </c>
      <c r="B71" s="1" t="s">
        <v>89</v>
      </c>
      <c r="C71" s="1" t="s">
        <v>41</v>
      </c>
      <c r="D71" s="1" t="n">
        <v>250000</v>
      </c>
      <c r="E71" s="1" t="n">
        <v>8.2</v>
      </c>
      <c r="F71" s="1" t="n">
        <v>3</v>
      </c>
      <c r="G71" s="1" t="s">
        <v>189</v>
      </c>
      <c r="H71" s="1" t="s">
        <v>42</v>
      </c>
      <c r="I71" s="50" t="n">
        <v>7857.18</v>
      </c>
      <c r="J71" s="1" t="n">
        <v>32858.4</v>
      </c>
      <c r="K71" s="1" t="n">
        <v>282858.4</v>
      </c>
    </row>
    <row r="72" customFormat="false" ht="14.25" hidden="false" customHeight="true" outlineLevel="0" collapsed="false">
      <c r="A72" s="1" t="s">
        <v>204</v>
      </c>
      <c r="B72" s="1" t="s">
        <v>61</v>
      </c>
      <c r="C72" s="1" t="s">
        <v>37</v>
      </c>
      <c r="D72" s="1" t="n">
        <v>1200000</v>
      </c>
      <c r="E72" s="1" t="n">
        <v>8.2</v>
      </c>
      <c r="F72" s="1" t="n">
        <v>10</v>
      </c>
      <c r="G72" s="1" t="s">
        <v>205</v>
      </c>
      <c r="H72" s="1" t="s">
        <v>42</v>
      </c>
      <c r="I72" s="50" t="n">
        <v>14686.44</v>
      </c>
      <c r="J72" s="1" t="n">
        <v>562372.44</v>
      </c>
      <c r="K72" s="1" t="n">
        <v>1762372.44</v>
      </c>
    </row>
    <row r="73" customFormat="false" ht="14.25" hidden="false" customHeight="true" outlineLevel="0" collapsed="false">
      <c r="A73" s="1" t="s">
        <v>206</v>
      </c>
      <c r="B73" s="1" t="s">
        <v>61</v>
      </c>
      <c r="C73" s="1" t="s">
        <v>43</v>
      </c>
      <c r="D73" s="1" t="n">
        <v>250000</v>
      </c>
      <c r="E73" s="1" t="n">
        <v>9</v>
      </c>
      <c r="F73" s="1" t="n">
        <v>7</v>
      </c>
      <c r="G73" s="1" t="s">
        <v>120</v>
      </c>
      <c r="H73" s="1" t="s">
        <v>42</v>
      </c>
      <c r="I73" s="50" t="n">
        <v>4022.27</v>
      </c>
      <c r="J73" s="1" t="n">
        <v>87870.64</v>
      </c>
      <c r="K73" s="1" t="n">
        <v>337870.64</v>
      </c>
    </row>
    <row r="74" customFormat="false" ht="14.25" hidden="false" customHeight="true" outlineLevel="0" collapsed="false">
      <c r="A74" s="1" t="s">
        <v>207</v>
      </c>
      <c r="B74" s="1" t="s">
        <v>67</v>
      </c>
      <c r="C74" s="1" t="s">
        <v>37</v>
      </c>
      <c r="D74" s="1" t="n">
        <v>500000</v>
      </c>
      <c r="E74" s="1" t="n">
        <v>12.5</v>
      </c>
      <c r="F74" s="1" t="n">
        <v>3</v>
      </c>
      <c r="G74" s="1" t="s">
        <v>208</v>
      </c>
      <c r="H74" s="1" t="s">
        <v>42</v>
      </c>
      <c r="I74" s="50" t="n">
        <v>16726.81</v>
      </c>
      <c r="J74" s="1" t="n">
        <v>102165.26</v>
      </c>
      <c r="K74" s="1" t="n">
        <v>602165.26</v>
      </c>
    </row>
    <row r="75" customFormat="false" ht="14.25" hidden="false" customHeight="true" outlineLevel="0" collapsed="false">
      <c r="A75" s="1" t="s">
        <v>209</v>
      </c>
      <c r="B75" s="1" t="s">
        <v>140</v>
      </c>
      <c r="C75" s="1" t="s">
        <v>41</v>
      </c>
      <c r="D75" s="1" t="n">
        <v>900000</v>
      </c>
      <c r="E75" s="1" t="n">
        <v>10.2</v>
      </c>
      <c r="F75" s="1" t="n">
        <v>7</v>
      </c>
      <c r="G75" s="1" t="s">
        <v>210</v>
      </c>
      <c r="H75" s="1" t="s">
        <v>44</v>
      </c>
      <c r="I75" s="50" t="n">
        <v>15034.24</v>
      </c>
      <c r="J75" s="1" t="n">
        <v>362875.77</v>
      </c>
      <c r="K75" s="1" t="n">
        <v>1262875.77</v>
      </c>
    </row>
    <row r="76" customFormat="false" ht="14.25" hidden="false" customHeight="true" outlineLevel="0" collapsed="false">
      <c r="A76" s="1" t="s">
        <v>211</v>
      </c>
      <c r="B76" s="1" t="s">
        <v>82</v>
      </c>
      <c r="C76" s="1" t="s">
        <v>43</v>
      </c>
      <c r="D76" s="1" t="n">
        <v>1500000</v>
      </c>
      <c r="E76" s="1" t="n">
        <v>12.5</v>
      </c>
      <c r="F76" s="1" t="n">
        <v>25</v>
      </c>
      <c r="G76" s="1" t="s">
        <v>212</v>
      </c>
      <c r="H76" s="1" t="s">
        <v>46</v>
      </c>
      <c r="I76" s="50" t="n">
        <v>16355.31</v>
      </c>
      <c r="J76" s="1" t="n">
        <v>3406593.62</v>
      </c>
      <c r="K76" s="1" t="n">
        <v>4906593.62</v>
      </c>
    </row>
    <row r="77" customFormat="false" ht="14.25" hidden="false" customHeight="true" outlineLevel="0" collapsed="false">
      <c r="A77" s="1" t="s">
        <v>213</v>
      </c>
      <c r="B77" s="1" t="s">
        <v>89</v>
      </c>
      <c r="C77" s="1" t="s">
        <v>43</v>
      </c>
      <c r="D77" s="1" t="n">
        <v>300000</v>
      </c>
      <c r="E77" s="1" t="n">
        <v>8.5</v>
      </c>
      <c r="F77" s="1" t="n">
        <v>25</v>
      </c>
      <c r="G77" s="1" t="s">
        <v>214</v>
      </c>
      <c r="H77" s="1" t="s">
        <v>46</v>
      </c>
      <c r="I77" s="50" t="n">
        <v>2415.68</v>
      </c>
      <c r="J77" s="1" t="n">
        <v>424704.38</v>
      </c>
      <c r="K77" s="1" t="n">
        <v>724704.38</v>
      </c>
    </row>
    <row r="78" customFormat="false" ht="14.25" hidden="false" customHeight="true" outlineLevel="0" collapsed="false">
      <c r="A78" s="1" t="s">
        <v>215</v>
      </c>
      <c r="B78" s="1" t="s">
        <v>67</v>
      </c>
      <c r="C78" s="1" t="s">
        <v>41</v>
      </c>
      <c r="D78" s="1" t="n">
        <v>1200000</v>
      </c>
      <c r="E78" s="1" t="n">
        <v>7.5</v>
      </c>
      <c r="F78" s="1" t="n">
        <v>20</v>
      </c>
      <c r="G78" s="1" t="s">
        <v>216</v>
      </c>
      <c r="H78" s="1" t="s">
        <v>44</v>
      </c>
      <c r="I78" s="50" t="n">
        <v>9667.12</v>
      </c>
      <c r="J78" s="1" t="n">
        <v>1120108.4</v>
      </c>
      <c r="K78" s="1" t="n">
        <v>2320108.4</v>
      </c>
    </row>
    <row r="79" customFormat="false" ht="14.25" hidden="false" customHeight="true" outlineLevel="0" collapsed="false">
      <c r="A79" s="1" t="s">
        <v>217</v>
      </c>
      <c r="B79" s="1" t="s">
        <v>89</v>
      </c>
      <c r="C79" s="1" t="s">
        <v>37</v>
      </c>
      <c r="D79" s="1" t="n">
        <v>1200000</v>
      </c>
      <c r="E79" s="1" t="n">
        <v>8.5</v>
      </c>
      <c r="F79" s="1" t="n">
        <v>10</v>
      </c>
      <c r="G79" s="1" t="s">
        <v>218</v>
      </c>
      <c r="H79" s="1" t="s">
        <v>42</v>
      </c>
      <c r="I79" s="50" t="n">
        <v>14878.28</v>
      </c>
      <c r="J79" s="1" t="n">
        <v>585393.92</v>
      </c>
      <c r="K79" s="1" t="n">
        <v>1785393.92</v>
      </c>
    </row>
    <row r="80" customFormat="false" ht="14.25" hidden="false" customHeight="true" outlineLevel="0" collapsed="false">
      <c r="A80" s="1" t="s">
        <v>219</v>
      </c>
      <c r="B80" s="1" t="s">
        <v>79</v>
      </c>
      <c r="C80" s="1" t="s">
        <v>35</v>
      </c>
      <c r="D80" s="1" t="n">
        <v>1500000</v>
      </c>
      <c r="E80" s="1" t="n">
        <v>11</v>
      </c>
      <c r="F80" s="1" t="n">
        <v>5</v>
      </c>
      <c r="G80" s="1" t="s">
        <v>220</v>
      </c>
      <c r="H80" s="1" t="s">
        <v>46</v>
      </c>
      <c r="I80" s="50" t="n">
        <v>32613.63</v>
      </c>
      <c r="J80" s="1" t="n">
        <v>456818.08</v>
      </c>
      <c r="K80" s="1" t="n">
        <v>1956818.08</v>
      </c>
    </row>
    <row r="81" customFormat="false" ht="14.25" hidden="false" customHeight="true" outlineLevel="0" collapsed="false">
      <c r="A81" s="1" t="s">
        <v>221</v>
      </c>
      <c r="B81" s="1" t="s">
        <v>96</v>
      </c>
      <c r="C81" s="1" t="s">
        <v>35</v>
      </c>
      <c r="D81" s="1" t="n">
        <v>2000000</v>
      </c>
      <c r="E81" s="1" t="n">
        <v>12.5</v>
      </c>
      <c r="F81" s="1" t="n">
        <v>25</v>
      </c>
      <c r="G81" s="1" t="s">
        <v>222</v>
      </c>
      <c r="H81" s="1" t="s">
        <v>44</v>
      </c>
      <c r="I81" s="50" t="n">
        <v>21807.08</v>
      </c>
      <c r="J81" s="1" t="n">
        <v>4542124.82</v>
      </c>
      <c r="K81" s="1" t="n">
        <v>6542124.82</v>
      </c>
    </row>
    <row r="82" customFormat="false" ht="14.25" hidden="false" customHeight="true" outlineLevel="0" collapsed="false">
      <c r="A82" s="1" t="s">
        <v>223</v>
      </c>
      <c r="B82" s="1" t="s">
        <v>82</v>
      </c>
      <c r="C82" s="1" t="s">
        <v>35</v>
      </c>
      <c r="D82" s="1" t="n">
        <v>250000</v>
      </c>
      <c r="E82" s="1" t="n">
        <v>12.5</v>
      </c>
      <c r="F82" s="1" t="n">
        <v>5</v>
      </c>
      <c r="G82" s="1" t="s">
        <v>224</v>
      </c>
      <c r="H82" s="1" t="s">
        <v>44</v>
      </c>
      <c r="I82" s="50" t="n">
        <v>5624.48</v>
      </c>
      <c r="J82" s="1" t="n">
        <v>87469.07</v>
      </c>
      <c r="K82" s="1" t="n">
        <v>337469.07</v>
      </c>
    </row>
    <row r="83" customFormat="false" ht="14.25" hidden="false" customHeight="true" outlineLevel="0" collapsed="false">
      <c r="A83" s="1" t="s">
        <v>225</v>
      </c>
      <c r="B83" s="1" t="s">
        <v>82</v>
      </c>
      <c r="C83" s="1" t="s">
        <v>35</v>
      </c>
      <c r="D83" s="1" t="n">
        <v>250000</v>
      </c>
      <c r="E83" s="1" t="n">
        <v>10.2</v>
      </c>
      <c r="F83" s="1" t="n">
        <v>5</v>
      </c>
      <c r="G83" s="1" t="s">
        <v>214</v>
      </c>
      <c r="H83" s="1" t="s">
        <v>42</v>
      </c>
      <c r="I83" s="50" t="n">
        <v>5336.4</v>
      </c>
      <c r="J83" s="1" t="n">
        <v>70183.8</v>
      </c>
      <c r="K83" s="1" t="n">
        <v>320183.8</v>
      </c>
    </row>
    <row r="84" customFormat="false" ht="14.25" hidden="false" customHeight="true" outlineLevel="0" collapsed="false">
      <c r="A84" s="1" t="s">
        <v>226</v>
      </c>
      <c r="B84" s="1" t="s">
        <v>74</v>
      </c>
      <c r="C84" s="1" t="s">
        <v>43</v>
      </c>
      <c r="D84" s="1" t="n">
        <v>1500000</v>
      </c>
      <c r="E84" s="1" t="n">
        <v>10.2</v>
      </c>
      <c r="F84" s="1" t="n">
        <v>3</v>
      </c>
      <c r="G84" s="1" t="s">
        <v>227</v>
      </c>
      <c r="H84" s="1" t="s">
        <v>44</v>
      </c>
      <c r="I84" s="50" t="n">
        <v>48541.75</v>
      </c>
      <c r="J84" s="1" t="n">
        <v>247503.05</v>
      </c>
      <c r="K84" s="1" t="n">
        <v>1747503.05</v>
      </c>
    </row>
    <row r="85" customFormat="false" ht="14.25" hidden="false" customHeight="true" outlineLevel="0" collapsed="false">
      <c r="A85" s="1" t="s">
        <v>228</v>
      </c>
      <c r="B85" s="1" t="s">
        <v>96</v>
      </c>
      <c r="C85" s="1" t="s">
        <v>41</v>
      </c>
      <c r="D85" s="1" t="n">
        <v>450000</v>
      </c>
      <c r="E85" s="1" t="n">
        <v>11</v>
      </c>
      <c r="F85" s="1" t="n">
        <v>25</v>
      </c>
      <c r="G85" s="1" t="s">
        <v>229</v>
      </c>
      <c r="H85" s="1" t="s">
        <v>36</v>
      </c>
      <c r="I85" s="50" t="n">
        <v>4410.51</v>
      </c>
      <c r="J85" s="1" t="n">
        <v>873152.65</v>
      </c>
      <c r="K85" s="1" t="n">
        <v>1323152.65</v>
      </c>
    </row>
    <row r="86" customFormat="false" ht="14.25" hidden="false" customHeight="true" outlineLevel="0" collapsed="false">
      <c r="A86" s="1" t="s">
        <v>230</v>
      </c>
      <c r="B86" s="1" t="s">
        <v>61</v>
      </c>
      <c r="C86" s="1" t="s">
        <v>43</v>
      </c>
      <c r="D86" s="1" t="n">
        <v>300000</v>
      </c>
      <c r="E86" s="1" t="n">
        <v>8.2</v>
      </c>
      <c r="F86" s="1" t="n">
        <v>10</v>
      </c>
      <c r="G86" s="1" t="s">
        <v>231</v>
      </c>
      <c r="H86" s="1" t="s">
        <v>42</v>
      </c>
      <c r="I86" s="50" t="n">
        <v>3671.61</v>
      </c>
      <c r="J86" s="1" t="n">
        <v>140593.11</v>
      </c>
      <c r="K86" s="1" t="n">
        <v>440593.11</v>
      </c>
    </row>
    <row r="87" customFormat="false" ht="14.25" hidden="false" customHeight="true" outlineLevel="0" collapsed="false">
      <c r="A87" s="1" t="s">
        <v>232</v>
      </c>
      <c r="B87" s="1" t="s">
        <v>67</v>
      </c>
      <c r="C87" s="1" t="s">
        <v>35</v>
      </c>
      <c r="D87" s="1" t="n">
        <v>500000</v>
      </c>
      <c r="E87" s="1" t="n">
        <v>10.2</v>
      </c>
      <c r="F87" s="1" t="n">
        <v>25</v>
      </c>
      <c r="G87" s="1" t="s">
        <v>202</v>
      </c>
      <c r="H87" s="1" t="s">
        <v>42</v>
      </c>
      <c r="I87" s="50" t="n">
        <v>4614.19</v>
      </c>
      <c r="J87" s="1" t="n">
        <v>884256.1</v>
      </c>
      <c r="K87" s="1" t="n">
        <v>1384256.1</v>
      </c>
    </row>
    <row r="88" customFormat="false" ht="14.25" hidden="false" customHeight="true" outlineLevel="0" collapsed="false">
      <c r="A88" s="1" t="s">
        <v>233</v>
      </c>
      <c r="B88" s="1" t="s">
        <v>64</v>
      </c>
      <c r="C88" s="1" t="s">
        <v>43</v>
      </c>
      <c r="D88" s="1" t="n">
        <v>300000</v>
      </c>
      <c r="E88" s="1" t="n">
        <v>10.2</v>
      </c>
      <c r="F88" s="1" t="n">
        <v>3</v>
      </c>
      <c r="G88" s="1" t="s">
        <v>234</v>
      </c>
      <c r="H88" s="1" t="s">
        <v>42</v>
      </c>
      <c r="I88" s="50" t="n">
        <v>9708.35</v>
      </c>
      <c r="J88" s="1" t="n">
        <v>49500.61</v>
      </c>
      <c r="K88" s="1" t="n">
        <v>349500.61</v>
      </c>
    </row>
    <row r="89" customFormat="false" ht="14.25" hidden="false" customHeight="true" outlineLevel="0" collapsed="false">
      <c r="A89" s="1" t="s">
        <v>235</v>
      </c>
      <c r="B89" s="1" t="s">
        <v>67</v>
      </c>
      <c r="C89" s="1" t="s">
        <v>43</v>
      </c>
      <c r="D89" s="1" t="n">
        <v>450000</v>
      </c>
      <c r="E89" s="1" t="n">
        <v>8.2</v>
      </c>
      <c r="F89" s="1" t="n">
        <v>20</v>
      </c>
      <c r="G89" s="1" t="s">
        <v>236</v>
      </c>
      <c r="H89" s="1" t="s">
        <v>36</v>
      </c>
      <c r="I89" s="50" t="n">
        <v>3820.18</v>
      </c>
      <c r="J89" s="1" t="n">
        <v>466844.3</v>
      </c>
      <c r="K89" s="1" t="n">
        <v>916844.3</v>
      </c>
    </row>
    <row r="90" customFormat="false" ht="14.25" hidden="false" customHeight="true" outlineLevel="0" collapsed="false">
      <c r="A90" s="1" t="s">
        <v>237</v>
      </c>
      <c r="B90" s="1" t="s">
        <v>79</v>
      </c>
      <c r="C90" s="1" t="s">
        <v>35</v>
      </c>
      <c r="D90" s="1" t="n">
        <v>900000</v>
      </c>
      <c r="E90" s="1" t="n">
        <v>9.5</v>
      </c>
      <c r="F90" s="1" t="n">
        <v>3</v>
      </c>
      <c r="G90" s="1" t="s">
        <v>238</v>
      </c>
      <c r="H90" s="1" t="s">
        <v>44</v>
      </c>
      <c r="I90" s="50" t="n">
        <v>28829.65</v>
      </c>
      <c r="J90" s="1" t="n">
        <v>137867.57</v>
      </c>
      <c r="K90" s="1" t="n">
        <v>1037867.57</v>
      </c>
    </row>
    <row r="91" customFormat="false" ht="14.25" hidden="false" customHeight="true" outlineLevel="0" collapsed="false">
      <c r="A91" s="1" t="s">
        <v>239</v>
      </c>
      <c r="B91" s="1" t="s">
        <v>82</v>
      </c>
      <c r="C91" s="1" t="s">
        <v>41</v>
      </c>
      <c r="D91" s="1" t="n">
        <v>1500000</v>
      </c>
      <c r="E91" s="1" t="n">
        <v>8.2</v>
      </c>
      <c r="F91" s="1" t="n">
        <v>25</v>
      </c>
      <c r="G91" s="1" t="s">
        <v>131</v>
      </c>
      <c r="H91" s="1" t="s">
        <v>44</v>
      </c>
      <c r="I91" s="50" t="n">
        <v>11776.68</v>
      </c>
      <c r="J91" s="1" t="n">
        <v>2033003.1</v>
      </c>
      <c r="K91" s="1" t="n">
        <v>3533003.1</v>
      </c>
    </row>
    <row r="92" customFormat="false" ht="14.25" hidden="false" customHeight="true" outlineLevel="0" collapsed="false">
      <c r="A92" s="1" t="s">
        <v>240</v>
      </c>
      <c r="B92" s="1" t="s">
        <v>140</v>
      </c>
      <c r="C92" s="1" t="s">
        <v>41</v>
      </c>
      <c r="D92" s="1" t="n">
        <v>300000</v>
      </c>
      <c r="E92" s="1" t="n">
        <v>7.5</v>
      </c>
      <c r="F92" s="1" t="n">
        <v>20</v>
      </c>
      <c r="G92" s="1" t="s">
        <v>241</v>
      </c>
      <c r="H92" s="1" t="s">
        <v>38</v>
      </c>
      <c r="I92" s="50" t="n">
        <v>2416.78</v>
      </c>
      <c r="J92" s="1" t="n">
        <v>280027.1</v>
      </c>
      <c r="K92" s="1" t="n">
        <v>580027.1</v>
      </c>
    </row>
    <row r="93" customFormat="false" ht="14.25" hidden="false" customHeight="true" outlineLevel="0" collapsed="false">
      <c r="A93" s="1" t="s">
        <v>242</v>
      </c>
      <c r="B93" s="1" t="s">
        <v>61</v>
      </c>
      <c r="C93" s="1" t="s">
        <v>35</v>
      </c>
      <c r="D93" s="1" t="n">
        <v>900000</v>
      </c>
      <c r="E93" s="1" t="n">
        <v>8.5</v>
      </c>
      <c r="F93" s="1" t="n">
        <v>3</v>
      </c>
      <c r="G93" s="1" t="s">
        <v>243</v>
      </c>
      <c r="H93" s="1" t="s">
        <v>36</v>
      </c>
      <c r="I93" s="50" t="n">
        <v>28410.78</v>
      </c>
      <c r="J93" s="1" t="n">
        <v>122788.21</v>
      </c>
      <c r="K93" s="1" t="n">
        <v>1022788.21</v>
      </c>
    </row>
    <row r="94" customFormat="false" ht="14.25" hidden="false" customHeight="true" outlineLevel="0" collapsed="false">
      <c r="A94" s="1" t="s">
        <v>244</v>
      </c>
      <c r="B94" s="1" t="s">
        <v>61</v>
      </c>
      <c r="C94" s="1" t="s">
        <v>35</v>
      </c>
      <c r="D94" s="1" t="n">
        <v>900000</v>
      </c>
      <c r="E94" s="1" t="n">
        <v>9</v>
      </c>
      <c r="F94" s="1" t="n">
        <v>20</v>
      </c>
      <c r="G94" s="1" t="s">
        <v>245</v>
      </c>
      <c r="H94" s="1" t="s">
        <v>44</v>
      </c>
      <c r="I94" s="50" t="n">
        <v>8097.53</v>
      </c>
      <c r="J94" s="1" t="n">
        <v>1043408.06</v>
      </c>
      <c r="K94" s="1" t="n">
        <v>1943408.06</v>
      </c>
    </row>
    <row r="95" customFormat="false" ht="14.25" hidden="false" customHeight="true" outlineLevel="0" collapsed="false">
      <c r="A95" s="1" t="s">
        <v>246</v>
      </c>
      <c r="B95" s="1" t="s">
        <v>61</v>
      </c>
      <c r="C95" s="1" t="s">
        <v>41</v>
      </c>
      <c r="D95" s="1" t="n">
        <v>750000</v>
      </c>
      <c r="E95" s="1" t="n">
        <v>8.2</v>
      </c>
      <c r="F95" s="1" t="n">
        <v>3</v>
      </c>
      <c r="G95" s="1" t="s">
        <v>247</v>
      </c>
      <c r="H95" s="1" t="s">
        <v>42</v>
      </c>
      <c r="I95" s="50" t="n">
        <v>23571.53</v>
      </c>
      <c r="J95" s="1" t="n">
        <v>98575.21</v>
      </c>
      <c r="K95" s="1" t="n">
        <v>848575.21</v>
      </c>
    </row>
    <row r="96" customFormat="false" ht="14.25" hidden="false" customHeight="true" outlineLevel="0" collapsed="false">
      <c r="A96" s="1" t="s">
        <v>248</v>
      </c>
      <c r="B96" s="1" t="s">
        <v>113</v>
      </c>
      <c r="C96" s="1" t="s">
        <v>35</v>
      </c>
      <c r="D96" s="1" t="n">
        <v>900000</v>
      </c>
      <c r="E96" s="1" t="n">
        <v>8.2</v>
      </c>
      <c r="F96" s="1" t="n">
        <v>5</v>
      </c>
      <c r="G96" s="1" t="s">
        <v>249</v>
      </c>
      <c r="H96" s="1" t="s">
        <v>44</v>
      </c>
      <c r="I96" s="50" t="n">
        <v>18335.02</v>
      </c>
      <c r="J96" s="1" t="n">
        <v>200101.31</v>
      </c>
      <c r="K96" s="1" t="n">
        <v>1100101.31</v>
      </c>
    </row>
    <row r="97" customFormat="false" ht="14.25" hidden="false" customHeight="true" outlineLevel="0" collapsed="false">
      <c r="A97" s="1" t="s">
        <v>250</v>
      </c>
      <c r="B97" s="1" t="s">
        <v>61</v>
      </c>
      <c r="C97" s="1" t="s">
        <v>43</v>
      </c>
      <c r="D97" s="1" t="n">
        <v>750000</v>
      </c>
      <c r="E97" s="1" t="n">
        <v>9</v>
      </c>
      <c r="F97" s="1" t="n">
        <v>5</v>
      </c>
      <c r="G97" s="1" t="s">
        <v>214</v>
      </c>
      <c r="H97" s="1" t="s">
        <v>47</v>
      </c>
      <c r="I97" s="50" t="n">
        <v>15568.77</v>
      </c>
      <c r="J97" s="1" t="n">
        <v>184125.99</v>
      </c>
      <c r="K97" s="1" t="n">
        <v>934125.99</v>
      </c>
    </row>
    <row r="98" customFormat="false" ht="14.25" hidden="false" customHeight="true" outlineLevel="0" collapsed="false">
      <c r="A98" s="1" t="s">
        <v>251</v>
      </c>
      <c r="B98" s="1" t="s">
        <v>140</v>
      </c>
      <c r="C98" s="1" t="s">
        <v>35</v>
      </c>
      <c r="D98" s="1" t="n">
        <v>1500000</v>
      </c>
      <c r="E98" s="1" t="n">
        <v>10.2</v>
      </c>
      <c r="F98" s="1" t="n">
        <v>7</v>
      </c>
      <c r="G98" s="1" t="s">
        <v>252</v>
      </c>
      <c r="H98" s="1" t="s">
        <v>38</v>
      </c>
      <c r="I98" s="50" t="n">
        <v>25057.06</v>
      </c>
      <c r="J98" s="1" t="n">
        <v>604792.95</v>
      </c>
      <c r="K98" s="1" t="n">
        <v>2104792.95</v>
      </c>
    </row>
    <row r="99" customFormat="false" ht="14.25" hidden="false" customHeight="true" outlineLevel="0" collapsed="false">
      <c r="A99" s="1" t="s">
        <v>253</v>
      </c>
      <c r="B99" s="1" t="s">
        <v>96</v>
      </c>
      <c r="C99" s="1" t="s">
        <v>35</v>
      </c>
      <c r="D99" s="1" t="n">
        <v>1500000</v>
      </c>
      <c r="E99" s="1" t="n">
        <v>11</v>
      </c>
      <c r="F99" s="1" t="n">
        <v>25</v>
      </c>
      <c r="G99" s="1" t="s">
        <v>254</v>
      </c>
      <c r="H99" s="1" t="s">
        <v>46</v>
      </c>
      <c r="I99" s="50" t="n">
        <v>14701.7</v>
      </c>
      <c r="J99" s="1" t="n">
        <v>2910508.85</v>
      </c>
      <c r="K99" s="1" t="n">
        <v>4410508.85</v>
      </c>
    </row>
    <row r="100" customFormat="false" ht="14.25" hidden="false" customHeight="true" outlineLevel="0" collapsed="false">
      <c r="A100" s="1" t="s">
        <v>255</v>
      </c>
      <c r="B100" s="1" t="s">
        <v>79</v>
      </c>
      <c r="C100" s="1" t="s">
        <v>37</v>
      </c>
      <c r="D100" s="1" t="n">
        <v>2000000</v>
      </c>
      <c r="E100" s="1" t="n">
        <v>8.5</v>
      </c>
      <c r="F100" s="1" t="n">
        <v>20</v>
      </c>
      <c r="G100" s="1" t="s">
        <v>256</v>
      </c>
      <c r="H100" s="1" t="s">
        <v>42</v>
      </c>
      <c r="I100" s="50" t="n">
        <v>17356.46</v>
      </c>
      <c r="J100" s="1" t="n">
        <v>2165551.52</v>
      </c>
      <c r="K100" s="1" t="n">
        <v>4165551.52</v>
      </c>
    </row>
    <row r="101" customFormat="false" ht="14.25" hidden="false" customHeight="true" outlineLevel="0" collapsed="false">
      <c r="A101" s="1" t="s">
        <v>257</v>
      </c>
      <c r="B101" s="1" t="s">
        <v>61</v>
      </c>
      <c r="C101" s="1" t="s">
        <v>35</v>
      </c>
      <c r="D101" s="1" t="n">
        <v>750000</v>
      </c>
      <c r="E101" s="1" t="n">
        <v>8.5</v>
      </c>
      <c r="F101" s="1" t="n">
        <v>5</v>
      </c>
      <c r="G101" s="1" t="s">
        <v>258</v>
      </c>
      <c r="H101" s="1" t="s">
        <v>46</v>
      </c>
      <c r="I101" s="50" t="n">
        <v>15387.4</v>
      </c>
      <c r="J101" s="1" t="n">
        <v>173243.91</v>
      </c>
      <c r="K101" s="1" t="n">
        <v>923243.91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F1:F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1" activeCellId="0" sqref="A21"/>
    </sheetView>
  </sheetViews>
  <sheetFormatPr defaultColWidth="8.6796875" defaultRowHeight="14.25" zeroHeight="false" outlineLevelRow="0" outlineLevelCol="0"/>
  <sheetData>
    <row r="1" customFormat="false" ht="14.25" hidden="false" customHeight="true" outlineLevel="0" collapsed="false">
      <c r="F1" s="50"/>
    </row>
    <row r="2" customFormat="false" ht="14.25" hidden="false" customHeight="true" outlineLevel="0" collapsed="false">
      <c r="F2" s="50"/>
    </row>
    <row r="3" customFormat="false" ht="14.25" hidden="false" customHeight="true" outlineLevel="0" collapsed="false">
      <c r="F3" s="50"/>
    </row>
    <row r="4" customFormat="false" ht="14.25" hidden="false" customHeight="true" outlineLevel="0" collapsed="false">
      <c r="F4" s="50"/>
    </row>
    <row r="5" customFormat="false" ht="14.25" hidden="false" customHeight="true" outlineLevel="0" collapsed="false">
      <c r="F5" s="50"/>
    </row>
    <row r="6" customFormat="false" ht="14.25" hidden="false" customHeight="true" outlineLevel="0" collapsed="false">
      <c r="F6" s="50"/>
    </row>
    <row r="7" customFormat="false" ht="14.25" hidden="false" customHeight="true" outlineLevel="0" collapsed="false">
      <c r="F7" s="50"/>
    </row>
    <row r="8" customFormat="false" ht="14.25" hidden="false" customHeight="true" outlineLevel="0" collapsed="false">
      <c r="F8" s="50"/>
    </row>
    <row r="9" customFormat="false" ht="14.25" hidden="false" customHeight="true" outlineLevel="0" collapsed="false">
      <c r="F9" s="50"/>
    </row>
    <row r="10" customFormat="false" ht="14.25" hidden="false" customHeight="true" outlineLevel="0" collapsed="false">
      <c r="F10" s="50"/>
    </row>
    <row r="11" customFormat="false" ht="14.25" hidden="false" customHeight="true" outlineLevel="0" collapsed="false">
      <c r="F11" s="50"/>
    </row>
    <row r="12" customFormat="false" ht="14.25" hidden="false" customHeight="true" outlineLevel="0" collapsed="false">
      <c r="F12" s="50"/>
    </row>
    <row r="13" customFormat="false" ht="14.25" hidden="false" customHeight="true" outlineLevel="0" collapsed="false">
      <c r="F13" s="50"/>
    </row>
    <row r="14" customFormat="false" ht="14.25" hidden="false" customHeight="true" outlineLevel="0" collapsed="false">
      <c r="F14" s="50"/>
    </row>
    <row r="15" customFormat="false" ht="14.25" hidden="false" customHeight="true" outlineLevel="0" collapsed="false">
      <c r="F15" s="50"/>
    </row>
    <row r="16" customFormat="false" ht="14.25" hidden="false" customHeight="true" outlineLevel="0" collapsed="false">
      <c r="F16" s="50"/>
    </row>
    <row r="17" customFormat="false" ht="14.25" hidden="false" customHeight="true" outlineLevel="0" collapsed="false">
      <c r="F17" s="50"/>
    </row>
    <row r="18" customFormat="false" ht="14.25" hidden="false" customHeight="true" outlineLevel="0" collapsed="false">
      <c r="F18" s="50"/>
    </row>
    <row r="19" customFormat="false" ht="14.25" hidden="false" customHeight="true" outlineLevel="0" collapsed="false">
      <c r="F19" s="50"/>
    </row>
    <row r="20" customFormat="false" ht="14.25" hidden="false" customHeight="true" outlineLevel="0" collapsed="false">
      <c r="F20" s="50"/>
    </row>
    <row r="21" customFormat="false" ht="14.25" hidden="false" customHeight="true" outlineLevel="0" collapsed="false">
      <c r="F21" s="50"/>
    </row>
    <row r="22" customFormat="false" ht="14.25" hidden="false" customHeight="true" outlineLevel="0" collapsed="false">
      <c r="F22" s="50"/>
    </row>
    <row r="23" customFormat="false" ht="14.25" hidden="false" customHeight="true" outlineLevel="0" collapsed="false">
      <c r="F23" s="50"/>
    </row>
    <row r="24" customFormat="false" ht="14.25" hidden="false" customHeight="true" outlineLevel="0" collapsed="false">
      <c r="F24" s="50"/>
    </row>
    <row r="25" customFormat="false" ht="14.25" hidden="false" customHeight="true" outlineLevel="0" collapsed="false">
      <c r="F25" s="50"/>
    </row>
    <row r="26" customFormat="false" ht="14.25" hidden="false" customHeight="true" outlineLevel="0" collapsed="false">
      <c r="F26" s="50"/>
    </row>
    <row r="27" customFormat="false" ht="14.25" hidden="false" customHeight="true" outlineLevel="0" collapsed="false">
      <c r="F27" s="50"/>
    </row>
    <row r="28" customFormat="false" ht="14.25" hidden="false" customHeight="true" outlineLevel="0" collapsed="false">
      <c r="F28" s="50"/>
    </row>
    <row r="29" customFormat="false" ht="14.25" hidden="false" customHeight="true" outlineLevel="0" collapsed="false">
      <c r="F29" s="50"/>
    </row>
    <row r="30" customFormat="false" ht="14.25" hidden="false" customHeight="true" outlineLevel="0" collapsed="false">
      <c r="F30" s="50"/>
    </row>
    <row r="31" customFormat="false" ht="14.25" hidden="false" customHeight="true" outlineLevel="0" collapsed="false">
      <c r="F31" s="50"/>
    </row>
    <row r="32" customFormat="false" ht="14.25" hidden="false" customHeight="true" outlineLevel="0" collapsed="false">
      <c r="F32" s="50"/>
    </row>
    <row r="33" customFormat="false" ht="14.25" hidden="false" customHeight="true" outlineLevel="0" collapsed="false">
      <c r="F33" s="50"/>
    </row>
    <row r="34" customFormat="false" ht="14.25" hidden="false" customHeight="true" outlineLevel="0" collapsed="false">
      <c r="F34" s="50"/>
    </row>
    <row r="35" customFormat="false" ht="14.25" hidden="false" customHeight="true" outlineLevel="0" collapsed="false">
      <c r="F35" s="50"/>
    </row>
    <row r="36" customFormat="false" ht="14.25" hidden="false" customHeight="true" outlineLevel="0" collapsed="false">
      <c r="F36" s="50"/>
    </row>
    <row r="37" customFormat="false" ht="14.25" hidden="false" customHeight="true" outlineLevel="0" collapsed="false">
      <c r="F37" s="50"/>
    </row>
    <row r="38" customFormat="false" ht="14.25" hidden="false" customHeight="true" outlineLevel="0" collapsed="false">
      <c r="F38" s="50"/>
    </row>
    <row r="39" customFormat="false" ht="14.25" hidden="false" customHeight="true" outlineLevel="0" collapsed="false">
      <c r="F39" s="50"/>
    </row>
    <row r="40" customFormat="false" ht="14.25" hidden="false" customHeight="true" outlineLevel="0" collapsed="false">
      <c r="F40" s="50"/>
    </row>
    <row r="41" customFormat="false" ht="14.25" hidden="false" customHeight="true" outlineLevel="0" collapsed="false">
      <c r="F41" s="50"/>
    </row>
    <row r="42" customFormat="false" ht="14.25" hidden="false" customHeight="true" outlineLevel="0" collapsed="false">
      <c r="F42" s="50"/>
    </row>
    <row r="43" customFormat="false" ht="14.25" hidden="false" customHeight="true" outlineLevel="0" collapsed="false">
      <c r="F43" s="50"/>
    </row>
    <row r="44" customFormat="false" ht="14.25" hidden="false" customHeight="true" outlineLevel="0" collapsed="false">
      <c r="F44" s="50"/>
    </row>
    <row r="45" customFormat="false" ht="14.25" hidden="false" customHeight="true" outlineLevel="0" collapsed="false">
      <c r="F45" s="50"/>
    </row>
    <row r="46" customFormat="false" ht="14.25" hidden="false" customHeight="true" outlineLevel="0" collapsed="false">
      <c r="F46" s="50"/>
    </row>
    <row r="47" customFormat="false" ht="14.25" hidden="false" customHeight="true" outlineLevel="0" collapsed="false">
      <c r="F47" s="50"/>
    </row>
    <row r="48" customFormat="false" ht="14.25" hidden="false" customHeight="true" outlineLevel="0" collapsed="false">
      <c r="F48" s="50"/>
    </row>
    <row r="49" customFormat="false" ht="14.25" hidden="false" customHeight="true" outlineLevel="0" collapsed="false">
      <c r="F49" s="50"/>
    </row>
    <row r="50" customFormat="false" ht="14.25" hidden="false" customHeight="true" outlineLevel="0" collapsed="false">
      <c r="F50" s="50"/>
    </row>
    <row r="51" customFormat="false" ht="14.25" hidden="false" customHeight="true" outlineLevel="0" collapsed="false">
      <c r="F51" s="50"/>
    </row>
    <row r="52" customFormat="false" ht="14.25" hidden="false" customHeight="true" outlineLevel="0" collapsed="false">
      <c r="F52" s="50"/>
    </row>
    <row r="53" customFormat="false" ht="14.25" hidden="false" customHeight="true" outlineLevel="0" collapsed="false">
      <c r="F53" s="50"/>
    </row>
    <row r="54" customFormat="false" ht="14.25" hidden="false" customHeight="true" outlineLevel="0" collapsed="false">
      <c r="F54" s="50"/>
    </row>
    <row r="55" customFormat="false" ht="14.25" hidden="false" customHeight="true" outlineLevel="0" collapsed="false">
      <c r="F55" s="50"/>
    </row>
    <row r="56" customFormat="false" ht="14.25" hidden="false" customHeight="true" outlineLevel="0" collapsed="false">
      <c r="F56" s="50"/>
    </row>
    <row r="57" customFormat="false" ht="14.25" hidden="false" customHeight="true" outlineLevel="0" collapsed="false">
      <c r="F57" s="50"/>
    </row>
    <row r="58" customFormat="false" ht="14.25" hidden="false" customHeight="true" outlineLevel="0" collapsed="false">
      <c r="F58" s="50"/>
    </row>
    <row r="59" customFormat="false" ht="14.25" hidden="false" customHeight="true" outlineLevel="0" collapsed="false">
      <c r="F59" s="50"/>
    </row>
    <row r="60" customFormat="false" ht="14.25" hidden="false" customHeight="true" outlineLevel="0" collapsed="false">
      <c r="F60" s="50"/>
    </row>
    <row r="61" customFormat="false" ht="14.25" hidden="false" customHeight="true" outlineLevel="0" collapsed="false">
      <c r="F61" s="50"/>
    </row>
    <row r="62" customFormat="false" ht="14.25" hidden="false" customHeight="true" outlineLevel="0" collapsed="false">
      <c r="F62" s="50"/>
    </row>
    <row r="63" customFormat="false" ht="14.25" hidden="false" customHeight="true" outlineLevel="0" collapsed="false">
      <c r="F63" s="50"/>
    </row>
    <row r="64" customFormat="false" ht="14.25" hidden="false" customHeight="true" outlineLevel="0" collapsed="false">
      <c r="F64" s="50"/>
    </row>
    <row r="65" customFormat="false" ht="14.25" hidden="false" customHeight="true" outlineLevel="0" collapsed="false">
      <c r="F65" s="50"/>
    </row>
    <row r="66" customFormat="false" ht="14.25" hidden="false" customHeight="true" outlineLevel="0" collapsed="false">
      <c r="F66" s="50"/>
    </row>
    <row r="67" customFormat="false" ht="14.25" hidden="false" customHeight="true" outlineLevel="0" collapsed="false">
      <c r="F67" s="50"/>
    </row>
    <row r="68" customFormat="false" ht="14.25" hidden="false" customHeight="true" outlineLevel="0" collapsed="false">
      <c r="F68" s="50"/>
    </row>
    <row r="69" customFormat="false" ht="14.25" hidden="false" customHeight="true" outlineLevel="0" collapsed="false">
      <c r="F69" s="50"/>
    </row>
    <row r="70" customFormat="false" ht="14.25" hidden="false" customHeight="true" outlineLevel="0" collapsed="false">
      <c r="F70" s="50"/>
    </row>
    <row r="71" customFormat="false" ht="14.25" hidden="false" customHeight="true" outlineLevel="0" collapsed="false">
      <c r="F71" s="50"/>
    </row>
    <row r="72" customFormat="false" ht="14.25" hidden="false" customHeight="true" outlineLevel="0" collapsed="false">
      <c r="F72" s="50"/>
    </row>
    <row r="73" customFormat="false" ht="14.25" hidden="false" customHeight="true" outlineLevel="0" collapsed="false">
      <c r="F73" s="50"/>
    </row>
    <row r="74" customFormat="false" ht="14.25" hidden="false" customHeight="true" outlineLevel="0" collapsed="false">
      <c r="F74" s="50"/>
    </row>
    <row r="75" customFormat="false" ht="14.25" hidden="false" customHeight="true" outlineLevel="0" collapsed="false">
      <c r="F75" s="50"/>
    </row>
    <row r="76" customFormat="false" ht="14.25" hidden="false" customHeight="true" outlineLevel="0" collapsed="false">
      <c r="F76" s="50"/>
    </row>
    <row r="77" customFormat="false" ht="14.25" hidden="false" customHeight="true" outlineLevel="0" collapsed="false">
      <c r="F77" s="50"/>
    </row>
    <row r="78" customFormat="false" ht="14.25" hidden="false" customHeight="true" outlineLevel="0" collapsed="false">
      <c r="F78" s="50"/>
    </row>
    <row r="79" customFormat="false" ht="14.25" hidden="false" customHeight="true" outlineLevel="0" collapsed="false">
      <c r="F79" s="50"/>
    </row>
    <row r="80" customFormat="false" ht="14.25" hidden="false" customHeight="true" outlineLevel="0" collapsed="false">
      <c r="F80" s="50"/>
    </row>
    <row r="81" customFormat="false" ht="14.25" hidden="false" customHeight="true" outlineLevel="0" collapsed="false">
      <c r="F81" s="50"/>
    </row>
    <row r="82" customFormat="false" ht="14.25" hidden="false" customHeight="true" outlineLevel="0" collapsed="false">
      <c r="F82" s="50"/>
    </row>
    <row r="83" customFormat="false" ht="14.25" hidden="false" customHeight="true" outlineLevel="0" collapsed="false">
      <c r="F83" s="50"/>
    </row>
    <row r="84" customFormat="false" ht="14.25" hidden="false" customHeight="true" outlineLevel="0" collapsed="false">
      <c r="F84" s="50"/>
    </row>
    <row r="85" customFormat="false" ht="14.25" hidden="false" customHeight="true" outlineLevel="0" collapsed="false">
      <c r="F85" s="50"/>
    </row>
    <row r="86" customFormat="false" ht="14.25" hidden="false" customHeight="true" outlineLevel="0" collapsed="false">
      <c r="F86" s="50"/>
    </row>
    <row r="87" customFormat="false" ht="14.25" hidden="false" customHeight="true" outlineLevel="0" collapsed="false">
      <c r="F87" s="50"/>
    </row>
    <row r="88" customFormat="false" ht="14.25" hidden="false" customHeight="true" outlineLevel="0" collapsed="false">
      <c r="F88" s="50"/>
    </row>
    <row r="89" customFormat="false" ht="14.25" hidden="false" customHeight="true" outlineLevel="0" collapsed="false">
      <c r="F89" s="50"/>
    </row>
    <row r="90" customFormat="false" ht="14.25" hidden="false" customHeight="true" outlineLevel="0" collapsed="false">
      <c r="F90" s="50"/>
    </row>
    <row r="91" customFormat="false" ht="14.25" hidden="false" customHeight="true" outlineLevel="0" collapsed="false">
      <c r="F91" s="50"/>
    </row>
    <row r="92" customFormat="false" ht="14.25" hidden="false" customHeight="true" outlineLevel="0" collapsed="false">
      <c r="F92" s="50"/>
    </row>
    <row r="93" customFormat="false" ht="14.25" hidden="false" customHeight="true" outlineLevel="0" collapsed="false">
      <c r="F93" s="50"/>
    </row>
    <row r="94" customFormat="false" ht="14.25" hidden="false" customHeight="true" outlineLevel="0" collapsed="false">
      <c r="F94" s="50"/>
    </row>
    <row r="95" customFormat="false" ht="14.25" hidden="false" customHeight="true" outlineLevel="0" collapsed="false">
      <c r="F95" s="50"/>
    </row>
    <row r="96" customFormat="false" ht="14.25" hidden="false" customHeight="true" outlineLevel="0" collapsed="false">
      <c r="F96" s="50"/>
    </row>
    <row r="97" customFormat="false" ht="14.25" hidden="false" customHeight="true" outlineLevel="0" collapsed="false">
      <c r="F97" s="50"/>
    </row>
    <row r="98" customFormat="false" ht="14.25" hidden="false" customHeight="true" outlineLevel="0" collapsed="false">
      <c r="F98" s="50"/>
    </row>
    <row r="99" customFormat="false" ht="14.25" hidden="false" customHeight="true" outlineLevel="0" collapsed="false">
      <c r="F99" s="50"/>
    </row>
    <row r="100" customFormat="false" ht="14.25" hidden="false" customHeight="true" outlineLevel="0" collapsed="false">
      <c r="F100" s="50"/>
    </row>
    <row r="101" customFormat="false" ht="14.25" hidden="false" customHeight="true" outlineLevel="0" collapsed="false">
      <c r="F101" s="5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5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15"/>
    <col collapsed="false" customWidth="true" hidden="false" outlineLevel="0" max="6" min="6" style="1" width="14"/>
    <col collapsed="false" customWidth="true" hidden="false" outlineLevel="0" max="7" min="7" style="1" width="18"/>
  </cols>
  <sheetData>
    <row r="1" customFormat="false" ht="19.5" hidden="false" customHeight="true" outlineLevel="0" collapsed="false">
      <c r="A1" s="3" t="s">
        <v>259</v>
      </c>
      <c r="B1" s="3"/>
      <c r="C1" s="3"/>
      <c r="D1" s="3"/>
      <c r="E1" s="3"/>
      <c r="F1" s="3"/>
      <c r="G1" s="3"/>
    </row>
    <row r="2" customFormat="false" ht="15" hidden="false" customHeight="true" outlineLevel="0" collapsed="false">
      <c r="A2" s="5" t="s">
        <v>260</v>
      </c>
      <c r="B2" s="5"/>
      <c r="C2" s="5"/>
      <c r="D2" s="5"/>
      <c r="E2" s="5"/>
      <c r="F2" s="5"/>
      <c r="G2" s="5"/>
    </row>
    <row r="4" customFormat="false" ht="26.25" hidden="false" customHeight="true" outlineLevel="0" collapsed="false">
      <c r="A4" s="53" t="s">
        <v>261</v>
      </c>
      <c r="B4" s="53" t="s">
        <v>262</v>
      </c>
      <c r="C4" s="53" t="s">
        <v>263</v>
      </c>
      <c r="D4" s="53" t="s">
        <v>57</v>
      </c>
      <c r="E4" s="53" t="s">
        <v>264</v>
      </c>
      <c r="F4" s="53" t="s">
        <v>265</v>
      </c>
      <c r="G4" s="53" t="s">
        <v>266</v>
      </c>
    </row>
    <row r="5" customFormat="false" ht="15" hidden="false" customHeight="true" outlineLevel="0" collapsed="false">
      <c r="A5" s="10" t="n">
        <v>1</v>
      </c>
      <c r="B5" s="54" t="n">
        <f aca="false">IF(D5="","",EDATE(EMI_StartDate,A5))</f>
        <v>46246</v>
      </c>
      <c r="C5" s="11" t="n">
        <f aca="false">EMI_LoanAmount</f>
        <v>1000000</v>
      </c>
      <c r="D5" s="11" t="n">
        <f aca="false">IF(A5&gt;EMI_NPer,"",EMI_Payment)</f>
        <v>9321.31187833522</v>
      </c>
      <c r="E5" s="11" t="n">
        <f aca="false">IF(D5="","",D5-F5)</f>
        <v>1404.64521166855</v>
      </c>
      <c r="F5" s="11" t="n">
        <f aca="false">IF(D5="","",C5*EMI_MonthlyRate)</f>
        <v>7916.66666666667</v>
      </c>
      <c r="G5" s="11" t="n">
        <f aca="false">IF(D5="","",MAX(C5-E5,0))</f>
        <v>998595.354788331</v>
      </c>
    </row>
    <row r="6" customFormat="false" ht="15" hidden="false" customHeight="true" outlineLevel="0" collapsed="false">
      <c r="A6" s="14" t="n">
        <f aca="false">A5+1</f>
        <v>2</v>
      </c>
      <c r="B6" s="55" t="n">
        <f aca="false">IF(D6="","",EDATE(EMI_StartDate,A6))</f>
        <v>46277</v>
      </c>
      <c r="C6" s="15" t="n">
        <f aca="false">IF(D5="","",G5)</f>
        <v>998595.354788331</v>
      </c>
      <c r="D6" s="15" t="n">
        <f aca="false">IF(A6&gt;EMI_NPer,"",EMI_Payment)</f>
        <v>9321.31187833522</v>
      </c>
      <c r="E6" s="15" t="n">
        <f aca="false">IF(D6="","",D6-F6)</f>
        <v>1415.76531959426</v>
      </c>
      <c r="F6" s="15" t="n">
        <f aca="false">IF(D6="","",C6*EMI_MonthlyRate)</f>
        <v>7905.54655874096</v>
      </c>
      <c r="G6" s="15" t="n">
        <f aca="false">IF(D6="","",MAX(C6-E6,0))</f>
        <v>997179.589468737</v>
      </c>
    </row>
    <row r="7" customFormat="false" ht="15" hidden="false" customHeight="true" outlineLevel="0" collapsed="false">
      <c r="A7" s="10" t="n">
        <f aca="false">A6+1</f>
        <v>3</v>
      </c>
      <c r="B7" s="54" t="n">
        <f aca="false">IF(D7="","",EDATE(EMI_StartDate,A7))</f>
        <v>46307</v>
      </c>
      <c r="C7" s="11" t="n">
        <f aca="false">IF(D6="","",G6)</f>
        <v>997179.589468737</v>
      </c>
      <c r="D7" s="11" t="n">
        <f aca="false">IF(A7&gt;EMI_NPer,"",EMI_Payment)</f>
        <v>9321.31187833522</v>
      </c>
      <c r="E7" s="11" t="n">
        <f aca="false">IF(D7="","",D7-F7)</f>
        <v>1426.97346170772</v>
      </c>
      <c r="F7" s="11" t="n">
        <f aca="false">IF(D7="","",C7*EMI_MonthlyRate)</f>
        <v>7894.3384166275</v>
      </c>
      <c r="G7" s="11" t="n">
        <f aca="false">IF(D7="","",MAX(C7-E7,0))</f>
        <v>995752.616007029</v>
      </c>
    </row>
    <row r="8" customFormat="false" ht="15" hidden="false" customHeight="true" outlineLevel="0" collapsed="false">
      <c r="A8" s="14" t="n">
        <f aca="false">A7+1</f>
        <v>4</v>
      </c>
      <c r="B8" s="55" t="n">
        <f aca="false">IF(D8="","",EDATE(EMI_StartDate,A8))</f>
        <v>46338</v>
      </c>
      <c r="C8" s="15" t="n">
        <f aca="false">IF(D7="","",G7)</f>
        <v>995752.616007029</v>
      </c>
      <c r="D8" s="15" t="n">
        <f aca="false">IF(A8&gt;EMI_NPer,"",EMI_Payment)</f>
        <v>9321.31187833522</v>
      </c>
      <c r="E8" s="15" t="n">
        <f aca="false">IF(D8="","",D8-F8)</f>
        <v>1438.27033494623</v>
      </c>
      <c r="F8" s="15" t="n">
        <f aca="false">IF(D8="","",C8*EMI_MonthlyRate)</f>
        <v>7883.04154338898</v>
      </c>
      <c r="G8" s="15" t="n">
        <f aca="false">IF(D8="","",MAX(C8-E8,0))</f>
        <v>994314.345672083</v>
      </c>
    </row>
    <row r="9" customFormat="false" ht="15" hidden="false" customHeight="true" outlineLevel="0" collapsed="false">
      <c r="A9" s="10" t="n">
        <f aca="false">A8+1</f>
        <v>5</v>
      </c>
      <c r="B9" s="54" t="n">
        <f aca="false">IF(D9="","",EDATE(EMI_StartDate,A9))</f>
        <v>46368</v>
      </c>
      <c r="C9" s="11" t="n">
        <f aca="false">IF(D8="","",G8)</f>
        <v>994314.345672083</v>
      </c>
      <c r="D9" s="11" t="n">
        <f aca="false">IF(A9&gt;EMI_NPer,"",EMI_Payment)</f>
        <v>9321.31187833522</v>
      </c>
      <c r="E9" s="11" t="n">
        <f aca="false">IF(D9="","",D9-F9)</f>
        <v>1449.65664176456</v>
      </c>
      <c r="F9" s="11" t="n">
        <f aca="false">IF(D9="","",C9*EMI_MonthlyRate)</f>
        <v>7871.65523657066</v>
      </c>
      <c r="G9" s="11" t="n">
        <f aca="false">IF(D9="","",MAX(C9-E9,0))</f>
        <v>992864.689030319</v>
      </c>
    </row>
    <row r="10" customFormat="false" ht="15" hidden="false" customHeight="true" outlineLevel="0" collapsed="false">
      <c r="A10" s="14" t="n">
        <f aca="false">A9+1</f>
        <v>6</v>
      </c>
      <c r="B10" s="55" t="n">
        <f aca="false">IF(D10="","",EDATE(EMI_StartDate,A10))</f>
        <v>46399</v>
      </c>
      <c r="C10" s="15" t="n">
        <f aca="false">IF(D9="","",G9)</f>
        <v>992864.689030319</v>
      </c>
      <c r="D10" s="15" t="n">
        <f aca="false">IF(A10&gt;EMI_NPer,"",EMI_Payment)</f>
        <v>9321.31187833522</v>
      </c>
      <c r="E10" s="15" t="n">
        <f aca="false">IF(D10="","",D10-F10)</f>
        <v>1461.13309017853</v>
      </c>
      <c r="F10" s="15" t="n">
        <f aca="false">IF(D10="","",C10*EMI_MonthlyRate)</f>
        <v>7860.17878815669</v>
      </c>
      <c r="G10" s="15" t="n">
        <f aca="false">IF(D10="","",MAX(C10-E10,0))</f>
        <v>991403.55594014</v>
      </c>
    </row>
    <row r="11" customFormat="false" ht="15" hidden="false" customHeight="true" outlineLevel="0" collapsed="false">
      <c r="A11" s="10" t="n">
        <f aca="false">A10+1</f>
        <v>7</v>
      </c>
      <c r="B11" s="54" t="n">
        <f aca="false">IF(D11="","",EDATE(EMI_StartDate,A11))</f>
        <v>46430</v>
      </c>
      <c r="C11" s="11" t="n">
        <f aca="false">IF(D10="","",G10)</f>
        <v>991403.55594014</v>
      </c>
      <c r="D11" s="11" t="n">
        <f aca="false">IF(A11&gt;EMI_NPer,"",EMI_Payment)</f>
        <v>9321.31187833522</v>
      </c>
      <c r="E11" s="11" t="n">
        <f aca="false">IF(D11="","",D11-F11)</f>
        <v>1472.70039380911</v>
      </c>
      <c r="F11" s="11" t="n">
        <f aca="false">IF(D11="","",C11*EMI_MonthlyRate)</f>
        <v>7848.61148452611</v>
      </c>
      <c r="G11" s="11" t="n">
        <f aca="false">IF(D11="","",MAX(C11-E11,0))</f>
        <v>989930.855546331</v>
      </c>
    </row>
    <row r="12" customFormat="false" ht="15" hidden="false" customHeight="true" outlineLevel="0" collapsed="false">
      <c r="A12" s="14" t="n">
        <f aca="false">A11+1</f>
        <v>8</v>
      </c>
      <c r="B12" s="55" t="n">
        <f aca="false">IF(D12="","",EDATE(EMI_StartDate,A12))</f>
        <v>46458</v>
      </c>
      <c r="C12" s="15" t="n">
        <f aca="false">IF(D11="","",G11)</f>
        <v>989930.855546331</v>
      </c>
      <c r="D12" s="15" t="n">
        <f aca="false">IF(A12&gt;EMI_NPer,"",EMI_Payment)</f>
        <v>9321.31187833522</v>
      </c>
      <c r="E12" s="15" t="n">
        <f aca="false">IF(D12="","",D12-F12)</f>
        <v>1484.35927192676</v>
      </c>
      <c r="F12" s="15" t="n">
        <f aca="false">IF(D12="","",C12*EMI_MonthlyRate)</f>
        <v>7836.95260640846</v>
      </c>
      <c r="G12" s="15" t="n">
        <f aca="false">IF(D12="","",MAX(C12-E12,0))</f>
        <v>988446.496274404</v>
      </c>
    </row>
    <row r="13" customFormat="false" ht="15" hidden="false" customHeight="true" outlineLevel="0" collapsed="false">
      <c r="A13" s="10" t="n">
        <f aca="false">A12+1</f>
        <v>9</v>
      </c>
      <c r="B13" s="54" t="n">
        <f aca="false">IF(D13="","",EDATE(EMI_StartDate,A13))</f>
        <v>46489</v>
      </c>
      <c r="C13" s="11" t="n">
        <f aca="false">IF(D12="","",G12)</f>
        <v>988446.496274404</v>
      </c>
      <c r="D13" s="11" t="n">
        <f aca="false">IF(A13&gt;EMI_NPer,"",EMI_Payment)</f>
        <v>9321.31187833522</v>
      </c>
      <c r="E13" s="11" t="n">
        <f aca="false">IF(D13="","",D13-F13)</f>
        <v>1496.11044949618</v>
      </c>
      <c r="F13" s="11" t="n">
        <f aca="false">IF(D13="","",C13*EMI_MonthlyRate)</f>
        <v>7825.20142883903</v>
      </c>
      <c r="G13" s="11" t="n">
        <f aca="false">IF(D13="","",MAX(C13-E13,0))</f>
        <v>986950.385824908</v>
      </c>
    </row>
    <row r="14" customFormat="false" ht="15" hidden="false" customHeight="true" outlineLevel="0" collapsed="false">
      <c r="A14" s="14" t="n">
        <f aca="false">A13+1</f>
        <v>10</v>
      </c>
      <c r="B14" s="55" t="n">
        <f aca="false">IF(D14="","",EDATE(EMI_StartDate,A14))</f>
        <v>46519</v>
      </c>
      <c r="C14" s="15" t="n">
        <f aca="false">IF(D13="","",G13)</f>
        <v>986950.385824908</v>
      </c>
      <c r="D14" s="15" t="n">
        <f aca="false">IF(A14&gt;EMI_NPer,"",EMI_Payment)</f>
        <v>9321.31187833522</v>
      </c>
      <c r="E14" s="15" t="n">
        <f aca="false">IF(D14="","",D14-F14)</f>
        <v>1507.95465722136</v>
      </c>
      <c r="F14" s="15" t="n">
        <f aca="false">IF(D14="","",C14*EMI_MonthlyRate)</f>
        <v>7813.35722111386</v>
      </c>
      <c r="G14" s="15" t="n">
        <f aca="false">IF(D14="","",MAX(C14-E14,0))</f>
        <v>985442.431167687</v>
      </c>
    </row>
    <row r="15" customFormat="false" ht="15" hidden="false" customHeight="true" outlineLevel="0" collapsed="false">
      <c r="A15" s="10" t="n">
        <f aca="false">A14+1</f>
        <v>11</v>
      </c>
      <c r="B15" s="54" t="n">
        <f aca="false">IF(D15="","",EDATE(EMI_StartDate,A15))</f>
        <v>46550</v>
      </c>
      <c r="C15" s="11" t="n">
        <f aca="false">IF(D14="","",G14)</f>
        <v>985442.431167687</v>
      </c>
      <c r="D15" s="11" t="n">
        <f aca="false">IF(A15&gt;EMI_NPer,"",EMI_Payment)</f>
        <v>9321.31187833522</v>
      </c>
      <c r="E15" s="11" t="n">
        <f aca="false">IF(D15="","",D15-F15)</f>
        <v>1519.89263159103</v>
      </c>
      <c r="F15" s="11" t="n">
        <f aca="false">IF(D15="","",C15*EMI_MonthlyRate)</f>
        <v>7801.41924674419</v>
      </c>
      <c r="G15" s="11" t="n">
        <f aca="false">IF(D15="","",MAX(C15-E15,0))</f>
        <v>983922.538536096</v>
      </c>
    </row>
    <row r="16" customFormat="false" ht="15" hidden="false" customHeight="true" outlineLevel="0" collapsed="false">
      <c r="A16" s="14" t="n">
        <f aca="false">A15+1</f>
        <v>12</v>
      </c>
      <c r="B16" s="55" t="n">
        <f aca="false">IF(D16="","",EDATE(EMI_StartDate,A16))</f>
        <v>46580</v>
      </c>
      <c r="C16" s="15" t="n">
        <f aca="false">IF(D15="","",G15)</f>
        <v>983922.538536096</v>
      </c>
      <c r="D16" s="15" t="n">
        <f aca="false">IF(A16&gt;EMI_NPer,"",EMI_Payment)</f>
        <v>9321.31187833522</v>
      </c>
      <c r="E16" s="15" t="n">
        <f aca="false">IF(D16="","",D16-F16)</f>
        <v>1531.92511492446</v>
      </c>
      <c r="F16" s="15" t="n">
        <f aca="false">IF(D16="","",C16*EMI_MonthlyRate)</f>
        <v>7789.38676341076</v>
      </c>
      <c r="G16" s="15" t="n">
        <f aca="false">IF(D16="","",MAX(C16-E16,0))</f>
        <v>982390.613421171</v>
      </c>
    </row>
    <row r="17" customFormat="false" ht="15" hidden="false" customHeight="true" outlineLevel="0" collapsed="false">
      <c r="A17" s="10" t="n">
        <f aca="false">A16+1</f>
        <v>13</v>
      </c>
      <c r="B17" s="54" t="n">
        <f aca="false">IF(D17="","",EDATE(EMI_StartDate,A17))</f>
        <v>46611</v>
      </c>
      <c r="C17" s="11" t="n">
        <f aca="false">IF(D16="","",G16)</f>
        <v>982390.613421171</v>
      </c>
      <c r="D17" s="11" t="n">
        <f aca="false">IF(A17&gt;EMI_NPer,"",EMI_Payment)</f>
        <v>9321.31187833522</v>
      </c>
      <c r="E17" s="11" t="n">
        <f aca="false">IF(D17="","",D17-F17)</f>
        <v>1544.05285541761</v>
      </c>
      <c r="F17" s="11" t="n">
        <f aca="false">IF(D17="","",C17*EMI_MonthlyRate)</f>
        <v>7777.25902291761</v>
      </c>
      <c r="G17" s="11" t="n">
        <f aca="false">IF(D17="","",MAX(C17-E17,0))</f>
        <v>980846.560565754</v>
      </c>
    </row>
    <row r="18" customFormat="false" ht="15" hidden="false" customHeight="true" outlineLevel="0" collapsed="false">
      <c r="A18" s="14" t="n">
        <f aca="false">A17+1</f>
        <v>14</v>
      </c>
      <c r="B18" s="55" t="n">
        <f aca="false">IF(D18="","",EDATE(EMI_StartDate,A18))</f>
        <v>46642</v>
      </c>
      <c r="C18" s="15" t="n">
        <f aca="false">IF(D17="","",G17)</f>
        <v>980846.560565754</v>
      </c>
      <c r="D18" s="15" t="n">
        <f aca="false">IF(A18&gt;EMI_NPer,"",EMI_Payment)</f>
        <v>9321.31187833522</v>
      </c>
      <c r="E18" s="15" t="n">
        <f aca="false">IF(D18="","",D18-F18)</f>
        <v>1556.27660718967</v>
      </c>
      <c r="F18" s="15" t="n">
        <f aca="false">IF(D18="","",C18*EMI_MonthlyRate)</f>
        <v>7765.03527114555</v>
      </c>
      <c r="G18" s="15" t="n">
        <f aca="false">IF(D18="","",MAX(C18-E18,0))</f>
        <v>979290.283958564</v>
      </c>
    </row>
    <row r="19" customFormat="false" ht="15" hidden="false" customHeight="true" outlineLevel="0" collapsed="false">
      <c r="A19" s="10" t="n">
        <f aca="false">A18+1</f>
        <v>15</v>
      </c>
      <c r="B19" s="54" t="n">
        <f aca="false">IF(D19="","",EDATE(EMI_StartDate,A19))</f>
        <v>46672</v>
      </c>
      <c r="C19" s="11" t="n">
        <f aca="false">IF(D18="","",G18)</f>
        <v>979290.283958564</v>
      </c>
      <c r="D19" s="11" t="n">
        <f aca="false">IF(A19&gt;EMI_NPer,"",EMI_Payment)</f>
        <v>9321.31187833522</v>
      </c>
      <c r="E19" s="11" t="n">
        <f aca="false">IF(D19="","",D19-F19)</f>
        <v>1568.59713032992</v>
      </c>
      <c r="F19" s="11" t="n">
        <f aca="false">IF(D19="","",C19*EMI_MonthlyRate)</f>
        <v>7752.7147480053</v>
      </c>
      <c r="G19" s="11" t="n">
        <f aca="false">IF(D19="","",MAX(C19-E19,0))</f>
        <v>977721.686828234</v>
      </c>
    </row>
    <row r="20" customFormat="false" ht="15" hidden="false" customHeight="true" outlineLevel="0" collapsed="false">
      <c r="A20" s="14" t="n">
        <f aca="false">A19+1</f>
        <v>16</v>
      </c>
      <c r="B20" s="55" t="n">
        <f aca="false">IF(D20="","",EDATE(EMI_StartDate,A20))</f>
        <v>46703</v>
      </c>
      <c r="C20" s="15" t="n">
        <f aca="false">IF(D19="","",G19)</f>
        <v>977721.686828234</v>
      </c>
      <c r="D20" s="15" t="n">
        <f aca="false">IF(A20&gt;EMI_NPer,"",EMI_Payment)</f>
        <v>9321.31187833522</v>
      </c>
      <c r="E20" s="15" t="n">
        <f aca="false">IF(D20="","",D20-F20)</f>
        <v>1581.01519094503</v>
      </c>
      <c r="F20" s="15" t="n">
        <f aca="false">IF(D20="","",C20*EMI_MonthlyRate)</f>
        <v>7740.29668739019</v>
      </c>
      <c r="G20" s="15" t="n">
        <f aca="false">IF(D20="","",MAX(C20-E20,0))</f>
        <v>976140.671637289</v>
      </c>
    </row>
    <row r="21" customFormat="false" ht="15" hidden="false" customHeight="true" outlineLevel="0" collapsed="false">
      <c r="A21" s="10" t="n">
        <f aca="false">A20+1</f>
        <v>17</v>
      </c>
      <c r="B21" s="54" t="n">
        <f aca="false">IF(D21="","",EDATE(EMI_StartDate,A21))</f>
        <v>46733</v>
      </c>
      <c r="C21" s="11" t="n">
        <f aca="false">IF(D20="","",G20)</f>
        <v>976140.671637289</v>
      </c>
      <c r="D21" s="11" t="n">
        <f aca="false">IF(A21&gt;EMI_NPer,"",EMI_Payment)</f>
        <v>9321.31187833522</v>
      </c>
      <c r="E21" s="11" t="n">
        <f aca="false">IF(D21="","",D21-F21)</f>
        <v>1593.53156120668</v>
      </c>
      <c r="F21" s="11" t="n">
        <f aca="false">IF(D21="","",C21*EMI_MonthlyRate)</f>
        <v>7727.78031712854</v>
      </c>
      <c r="G21" s="11" t="n">
        <f aca="false">IF(D21="","",MAX(C21-E21,0))</f>
        <v>974547.140076082</v>
      </c>
    </row>
    <row r="22" customFormat="false" ht="15" hidden="false" customHeight="true" outlineLevel="0" collapsed="false">
      <c r="A22" s="14" t="n">
        <f aca="false">A21+1</f>
        <v>18</v>
      </c>
      <c r="B22" s="55" t="n">
        <f aca="false">IF(D22="","",EDATE(EMI_StartDate,A22))</f>
        <v>46764</v>
      </c>
      <c r="C22" s="15" t="n">
        <f aca="false">IF(D21="","",G21)</f>
        <v>974547.140076082</v>
      </c>
      <c r="D22" s="15" t="n">
        <f aca="false">IF(A22&gt;EMI_NPer,"",EMI_Payment)</f>
        <v>9321.31187833522</v>
      </c>
      <c r="E22" s="15" t="n">
        <f aca="false">IF(D22="","",D22-F22)</f>
        <v>1606.14701939957</v>
      </c>
      <c r="F22" s="15" t="n">
        <f aca="false">IF(D22="","",C22*EMI_MonthlyRate)</f>
        <v>7715.16485893565</v>
      </c>
      <c r="G22" s="15" t="n">
        <f aca="false">IF(D22="","",MAX(C22-E22,0))</f>
        <v>972940.993056683</v>
      </c>
    </row>
    <row r="23" customFormat="false" ht="15" hidden="false" customHeight="true" outlineLevel="0" collapsed="false">
      <c r="A23" s="10" t="n">
        <f aca="false">A22+1</f>
        <v>19</v>
      </c>
      <c r="B23" s="54" t="n">
        <f aca="false">IF(D23="","",EDATE(EMI_StartDate,A23))</f>
        <v>46795</v>
      </c>
      <c r="C23" s="11" t="n">
        <f aca="false">IF(D22="","",G22)</f>
        <v>972940.993056683</v>
      </c>
      <c r="D23" s="11" t="n">
        <f aca="false">IF(A23&gt;EMI_NPer,"",EMI_Payment)</f>
        <v>9321.31187833522</v>
      </c>
      <c r="E23" s="11" t="n">
        <f aca="false">IF(D23="","",D23-F23)</f>
        <v>1618.86234996981</v>
      </c>
      <c r="F23" s="11" t="n">
        <f aca="false">IF(D23="","",C23*EMI_MonthlyRate)</f>
        <v>7702.44952836541</v>
      </c>
      <c r="G23" s="11" t="n">
        <f aca="false">IF(D23="","",MAX(C23-E23,0))</f>
        <v>971322.130706713</v>
      </c>
    </row>
    <row r="24" customFormat="false" ht="15" hidden="false" customHeight="true" outlineLevel="0" collapsed="false">
      <c r="A24" s="14" t="n">
        <f aca="false">A23+1</f>
        <v>20</v>
      </c>
      <c r="B24" s="55" t="n">
        <f aca="false">IF(D24="","",EDATE(EMI_StartDate,A24))</f>
        <v>46824</v>
      </c>
      <c r="C24" s="15" t="n">
        <f aca="false">IF(D23="","",G23)</f>
        <v>971322.130706713</v>
      </c>
      <c r="D24" s="15" t="n">
        <f aca="false">IF(A24&gt;EMI_NPer,"",EMI_Payment)</f>
        <v>9321.31187833522</v>
      </c>
      <c r="E24" s="15" t="n">
        <f aca="false">IF(D24="","",D24-F24)</f>
        <v>1631.67834357374</v>
      </c>
      <c r="F24" s="15" t="n">
        <f aca="false">IF(D24="","",C24*EMI_MonthlyRate)</f>
        <v>7689.63353476148</v>
      </c>
      <c r="G24" s="15" t="n">
        <f aca="false">IF(D24="","",MAX(C24-E24,0))</f>
        <v>969690.452363139</v>
      </c>
    </row>
    <row r="25" customFormat="false" ht="15" hidden="false" customHeight="true" outlineLevel="0" collapsed="false">
      <c r="A25" s="10" t="n">
        <f aca="false">A24+1</f>
        <v>21</v>
      </c>
      <c r="B25" s="54" t="n">
        <f aca="false">IF(D25="","",EDATE(EMI_StartDate,A25))</f>
        <v>46855</v>
      </c>
      <c r="C25" s="11" t="n">
        <f aca="false">IF(D24="","",G24)</f>
        <v>969690.452363139</v>
      </c>
      <c r="D25" s="11" t="n">
        <f aca="false">IF(A25&gt;EMI_NPer,"",EMI_Payment)</f>
        <v>9321.31187833522</v>
      </c>
      <c r="E25" s="11" t="n">
        <f aca="false">IF(D25="","",D25-F25)</f>
        <v>1644.59579712703</v>
      </c>
      <c r="F25" s="11" t="n">
        <f aca="false">IF(D25="","",C25*EMI_MonthlyRate)</f>
        <v>7676.71608120819</v>
      </c>
      <c r="G25" s="11" t="n">
        <f aca="false">IF(D25="","",MAX(C25-E25,0))</f>
        <v>968045.856566012</v>
      </c>
    </row>
    <row r="26" customFormat="false" ht="15" hidden="false" customHeight="true" outlineLevel="0" collapsed="false">
      <c r="A26" s="14" t="n">
        <f aca="false">A25+1</f>
        <v>22</v>
      </c>
      <c r="B26" s="55" t="n">
        <f aca="false">IF(D26="","",EDATE(EMI_StartDate,A26))</f>
        <v>46885</v>
      </c>
      <c r="C26" s="15" t="n">
        <f aca="false">IF(D25="","",G25)</f>
        <v>968045.856566012</v>
      </c>
      <c r="D26" s="15" t="n">
        <f aca="false">IF(A26&gt;EMI_NPer,"",EMI_Payment)</f>
        <v>9321.31187833522</v>
      </c>
      <c r="E26" s="15" t="n">
        <f aca="false">IF(D26="","",D26-F26)</f>
        <v>1657.61551385429</v>
      </c>
      <c r="F26" s="15" t="n">
        <f aca="false">IF(D26="","",C26*EMI_MonthlyRate)</f>
        <v>7663.69636448093</v>
      </c>
      <c r="G26" s="15" t="n">
        <f aca="false">IF(D26="","",MAX(C26-E26,0))</f>
        <v>966388.241052158</v>
      </c>
    </row>
    <row r="27" customFormat="false" ht="15" hidden="false" customHeight="true" outlineLevel="0" collapsed="false">
      <c r="A27" s="10" t="n">
        <f aca="false">A26+1</f>
        <v>23</v>
      </c>
      <c r="B27" s="54" t="n">
        <f aca="false">IF(D27="","",EDATE(EMI_StartDate,A27))</f>
        <v>46916</v>
      </c>
      <c r="C27" s="11" t="n">
        <f aca="false">IF(D26="","",G26)</f>
        <v>966388.241052158</v>
      </c>
      <c r="D27" s="11" t="n">
        <f aca="false">IF(A27&gt;EMI_NPer,"",EMI_Payment)</f>
        <v>9321.31187833522</v>
      </c>
      <c r="E27" s="11" t="n">
        <f aca="false">IF(D27="","",D27-F27)</f>
        <v>1670.73830333897</v>
      </c>
      <c r="F27" s="11" t="n">
        <f aca="false">IF(D27="","",C27*EMI_MonthlyRate)</f>
        <v>7650.57357499625</v>
      </c>
      <c r="G27" s="11" t="n">
        <f aca="false">IF(D27="","",MAX(C27-E27,0))</f>
        <v>964717.502748819</v>
      </c>
    </row>
    <row r="28" customFormat="false" ht="15" hidden="false" customHeight="true" outlineLevel="0" collapsed="false">
      <c r="A28" s="14" t="n">
        <f aca="false">A27+1</f>
        <v>24</v>
      </c>
      <c r="B28" s="55" t="n">
        <f aca="false">IF(D28="","",EDATE(EMI_StartDate,A28))</f>
        <v>46946</v>
      </c>
      <c r="C28" s="15" t="n">
        <f aca="false">IF(D27="","",G27)</f>
        <v>964717.502748819</v>
      </c>
      <c r="D28" s="15" t="n">
        <f aca="false">IF(A28&gt;EMI_NPer,"",EMI_Payment)</f>
        <v>9321.31187833522</v>
      </c>
      <c r="E28" s="15" t="n">
        <f aca="false">IF(D28="","",D28-F28)</f>
        <v>1683.96498157373</v>
      </c>
      <c r="F28" s="15" t="n">
        <f aca="false">IF(D28="","",C28*EMI_MonthlyRate)</f>
        <v>7637.34689676148</v>
      </c>
      <c r="G28" s="15" t="n">
        <f aca="false">IF(D28="","",MAX(C28-E28,0))</f>
        <v>963033.537767245</v>
      </c>
    </row>
    <row r="29" customFormat="false" ht="15" hidden="false" customHeight="true" outlineLevel="0" collapsed="false">
      <c r="A29" s="10" t="n">
        <f aca="false">A28+1</f>
        <v>25</v>
      </c>
      <c r="B29" s="54" t="n">
        <f aca="false">IF(D29="","",EDATE(EMI_StartDate,A29))</f>
        <v>46977</v>
      </c>
      <c r="C29" s="11" t="n">
        <f aca="false">IF(D28="","",G28)</f>
        <v>963033.537767245</v>
      </c>
      <c r="D29" s="11" t="n">
        <f aca="false">IF(A29&gt;EMI_NPer,"",EMI_Payment)</f>
        <v>9321.31187833522</v>
      </c>
      <c r="E29" s="11" t="n">
        <f aca="false">IF(D29="","",D29-F29)</f>
        <v>1697.29637101119</v>
      </c>
      <c r="F29" s="11" t="n">
        <f aca="false">IF(D29="","",C29*EMI_MonthlyRate)</f>
        <v>7624.01550732403</v>
      </c>
      <c r="G29" s="11" t="n">
        <f aca="false">IF(D29="","",MAX(C29-E29,0))</f>
        <v>961336.241396234</v>
      </c>
    </row>
    <row r="30" customFormat="false" ht="15" hidden="false" customHeight="true" outlineLevel="0" collapsed="false">
      <c r="A30" s="14" t="n">
        <f aca="false">A29+1</f>
        <v>26</v>
      </c>
      <c r="B30" s="55" t="n">
        <f aca="false">IF(D30="","",EDATE(EMI_StartDate,A30))</f>
        <v>47008</v>
      </c>
      <c r="C30" s="15" t="n">
        <f aca="false">IF(D29="","",G29)</f>
        <v>961336.241396234</v>
      </c>
      <c r="D30" s="15" t="n">
        <f aca="false">IF(A30&gt;EMI_NPer,"",EMI_Payment)</f>
        <v>9321.31187833522</v>
      </c>
      <c r="E30" s="15" t="n">
        <f aca="false">IF(D30="","",D30-F30)</f>
        <v>1710.73330061503</v>
      </c>
      <c r="F30" s="15" t="n">
        <f aca="false">IF(D30="","",C30*EMI_MonthlyRate)</f>
        <v>7610.57857772019</v>
      </c>
      <c r="G30" s="15" t="n">
        <f aca="false">IF(D30="","",MAX(C30-E30,0))</f>
        <v>959625.508095619</v>
      </c>
    </row>
    <row r="31" customFormat="false" ht="15" hidden="false" customHeight="true" outlineLevel="0" collapsed="false">
      <c r="A31" s="10" t="n">
        <f aca="false">A30+1</f>
        <v>27</v>
      </c>
      <c r="B31" s="54" t="n">
        <f aca="false">IF(D31="","",EDATE(EMI_StartDate,A31))</f>
        <v>47038</v>
      </c>
      <c r="C31" s="11" t="n">
        <f aca="false">IF(D30="","",G30)</f>
        <v>959625.508095619</v>
      </c>
      <c r="D31" s="11" t="n">
        <f aca="false">IF(A31&gt;EMI_NPer,"",EMI_Payment)</f>
        <v>9321.31187833522</v>
      </c>
      <c r="E31" s="11" t="n">
        <f aca="false">IF(D31="","",D31-F31)</f>
        <v>1724.27660591157</v>
      </c>
      <c r="F31" s="11" t="n">
        <f aca="false">IF(D31="","",C31*EMI_MonthlyRate)</f>
        <v>7597.03527242365</v>
      </c>
      <c r="G31" s="11" t="n">
        <f aca="false">IF(D31="","",MAX(C31-E31,0))</f>
        <v>957901.231489708</v>
      </c>
    </row>
    <row r="32" customFormat="false" ht="15" hidden="false" customHeight="true" outlineLevel="0" collapsed="false">
      <c r="A32" s="14" t="n">
        <f aca="false">A31+1</f>
        <v>28</v>
      </c>
      <c r="B32" s="55" t="n">
        <f aca="false">IF(D32="","",EDATE(EMI_StartDate,A32))</f>
        <v>47069</v>
      </c>
      <c r="C32" s="15" t="n">
        <f aca="false">IF(D31="","",G31)</f>
        <v>957901.231489708</v>
      </c>
      <c r="D32" s="15" t="n">
        <f aca="false">IF(A32&gt;EMI_NPer,"",EMI_Payment)</f>
        <v>9321.31187833522</v>
      </c>
      <c r="E32" s="15" t="n">
        <f aca="false">IF(D32="","",D32-F32)</f>
        <v>1737.9271290417</v>
      </c>
      <c r="F32" s="15" t="n">
        <f aca="false">IF(D32="","",C32*EMI_MonthlyRate)</f>
        <v>7583.38474929352</v>
      </c>
      <c r="G32" s="15" t="n">
        <f aca="false">IF(D32="","",MAX(C32-E32,0))</f>
        <v>956163.304360666</v>
      </c>
    </row>
    <row r="33" customFormat="false" ht="15" hidden="false" customHeight="true" outlineLevel="0" collapsed="false">
      <c r="A33" s="10" t="n">
        <f aca="false">A32+1</f>
        <v>29</v>
      </c>
      <c r="B33" s="54" t="n">
        <f aca="false">IF(D33="","",EDATE(EMI_StartDate,A33))</f>
        <v>47099</v>
      </c>
      <c r="C33" s="11" t="n">
        <f aca="false">IF(D32="","",G32)</f>
        <v>956163.304360666</v>
      </c>
      <c r="D33" s="11" t="n">
        <f aca="false">IF(A33&gt;EMI_NPer,"",EMI_Payment)</f>
        <v>9321.31187833522</v>
      </c>
      <c r="E33" s="11" t="n">
        <f aca="false">IF(D33="","",D33-F33)</f>
        <v>1751.68571881328</v>
      </c>
      <c r="F33" s="11" t="n">
        <f aca="false">IF(D33="","",C33*EMI_MonthlyRate)</f>
        <v>7569.62615952194</v>
      </c>
      <c r="G33" s="11" t="n">
        <f aca="false">IF(D33="","",MAX(C33-E33,0))</f>
        <v>954411.618641852</v>
      </c>
    </row>
    <row r="34" customFormat="false" ht="15" hidden="false" customHeight="true" outlineLevel="0" collapsed="false">
      <c r="A34" s="14" t="n">
        <f aca="false">A33+1</f>
        <v>30</v>
      </c>
      <c r="B34" s="55" t="n">
        <f aca="false">IF(D34="","",EDATE(EMI_StartDate,A34))</f>
        <v>47130</v>
      </c>
      <c r="C34" s="15" t="n">
        <f aca="false">IF(D33="","",G33)</f>
        <v>954411.618641852</v>
      </c>
      <c r="D34" s="15" t="n">
        <f aca="false">IF(A34&gt;EMI_NPer,"",EMI_Payment)</f>
        <v>9321.31187833522</v>
      </c>
      <c r="E34" s="15" t="n">
        <f aca="false">IF(D34="","",D34-F34)</f>
        <v>1765.55323075389</v>
      </c>
      <c r="F34" s="15" t="n">
        <f aca="false">IF(D34="","",C34*EMI_MonthlyRate)</f>
        <v>7555.75864758133</v>
      </c>
      <c r="G34" s="15" t="n">
        <f aca="false">IF(D34="","",MAX(C34-E34,0))</f>
        <v>952646.065411099</v>
      </c>
    </row>
    <row r="35" customFormat="false" ht="15" hidden="false" customHeight="true" outlineLevel="0" collapsed="false">
      <c r="A35" s="10" t="n">
        <f aca="false">A34+1</f>
        <v>31</v>
      </c>
      <c r="B35" s="54" t="n">
        <f aca="false">IF(D35="","",EDATE(EMI_StartDate,A35))</f>
        <v>47161</v>
      </c>
      <c r="C35" s="11" t="n">
        <f aca="false">IF(D34="","",G34)</f>
        <v>952646.065411099</v>
      </c>
      <c r="D35" s="11" t="n">
        <f aca="false">IF(A35&gt;EMI_NPer,"",EMI_Payment)</f>
        <v>9321.31187833522</v>
      </c>
      <c r="E35" s="11" t="n">
        <f aca="false">IF(D35="","",D35-F35)</f>
        <v>1779.53052716402</v>
      </c>
      <c r="F35" s="11" t="n">
        <f aca="false">IF(D35="","",C35*EMI_MonthlyRate)</f>
        <v>7541.7813511712</v>
      </c>
      <c r="G35" s="11" t="n">
        <f aca="false">IF(D35="","",MAX(C35-E35,0))</f>
        <v>950866.534883935</v>
      </c>
    </row>
    <row r="36" customFormat="false" ht="15" hidden="false" customHeight="true" outlineLevel="0" collapsed="false">
      <c r="A36" s="14" t="n">
        <f aca="false">A35+1</f>
        <v>32</v>
      </c>
      <c r="B36" s="55" t="n">
        <f aca="false">IF(D36="","",EDATE(EMI_StartDate,A36))</f>
        <v>47189</v>
      </c>
      <c r="C36" s="15" t="n">
        <f aca="false">IF(D35="","",G35)</f>
        <v>950866.534883935</v>
      </c>
      <c r="D36" s="15" t="n">
        <f aca="false">IF(A36&gt;EMI_NPer,"",EMI_Payment)</f>
        <v>9321.31187833522</v>
      </c>
      <c r="E36" s="15" t="n">
        <f aca="false">IF(D36="","",D36-F36)</f>
        <v>1793.61847717074</v>
      </c>
      <c r="F36" s="15" t="n">
        <f aca="false">IF(D36="","",C36*EMI_MonthlyRate)</f>
        <v>7527.69340116448</v>
      </c>
      <c r="G36" s="15" t="n">
        <f aca="false">IF(D36="","",MAX(C36-E36,0))</f>
        <v>949072.916406764</v>
      </c>
    </row>
    <row r="37" customFormat="false" ht="15" hidden="false" customHeight="true" outlineLevel="0" collapsed="false">
      <c r="A37" s="10" t="n">
        <f aca="false">A36+1</f>
        <v>33</v>
      </c>
      <c r="B37" s="54" t="n">
        <f aca="false">IF(D37="","",EDATE(EMI_StartDate,A37))</f>
        <v>47220</v>
      </c>
      <c r="C37" s="11" t="n">
        <f aca="false">IF(D36="","",G36)</f>
        <v>949072.916406764</v>
      </c>
      <c r="D37" s="11" t="n">
        <f aca="false">IF(A37&gt;EMI_NPer,"",EMI_Payment)</f>
        <v>9321.31187833522</v>
      </c>
      <c r="E37" s="11" t="n">
        <f aca="false">IF(D37="","",D37-F37)</f>
        <v>1807.81795678167</v>
      </c>
      <c r="F37" s="11" t="n">
        <f aca="false">IF(D37="","",C37*EMI_MonthlyRate)</f>
        <v>7513.49392155355</v>
      </c>
      <c r="G37" s="11" t="n">
        <f aca="false">IF(D37="","",MAX(C37-E37,0))</f>
        <v>947265.098449982</v>
      </c>
    </row>
    <row r="38" customFormat="false" ht="15" hidden="false" customHeight="true" outlineLevel="0" collapsed="false">
      <c r="A38" s="14" t="n">
        <f aca="false">A37+1</f>
        <v>34</v>
      </c>
      <c r="B38" s="55" t="n">
        <f aca="false">IF(D38="","",EDATE(EMI_StartDate,A38))</f>
        <v>47250</v>
      </c>
      <c r="C38" s="15" t="n">
        <f aca="false">IF(D37="","",G37)</f>
        <v>947265.098449982</v>
      </c>
      <c r="D38" s="15" t="n">
        <f aca="false">IF(A38&gt;EMI_NPer,"",EMI_Payment)</f>
        <v>9321.31187833522</v>
      </c>
      <c r="E38" s="15" t="n">
        <f aca="false">IF(D38="","",D38-F38)</f>
        <v>1822.12984893953</v>
      </c>
      <c r="F38" s="15" t="n">
        <f aca="false">IF(D38="","",C38*EMI_MonthlyRate)</f>
        <v>7499.18202939569</v>
      </c>
      <c r="G38" s="15" t="n">
        <f aca="false">IF(D38="","",MAX(C38-E38,0))</f>
        <v>945442.968601043</v>
      </c>
    </row>
    <row r="39" customFormat="false" ht="15" hidden="false" customHeight="true" outlineLevel="0" collapsed="false">
      <c r="A39" s="10" t="n">
        <f aca="false">A38+1</f>
        <v>35</v>
      </c>
      <c r="B39" s="54" t="n">
        <f aca="false">IF(D39="","",EDATE(EMI_StartDate,A39))</f>
        <v>47281</v>
      </c>
      <c r="C39" s="11" t="n">
        <f aca="false">IF(D38="","",G38)</f>
        <v>945442.968601043</v>
      </c>
      <c r="D39" s="11" t="n">
        <f aca="false">IF(A39&gt;EMI_NPer,"",EMI_Payment)</f>
        <v>9321.31187833522</v>
      </c>
      <c r="E39" s="11" t="n">
        <f aca="false">IF(D39="","",D39-F39)</f>
        <v>1836.55504357696</v>
      </c>
      <c r="F39" s="11" t="n">
        <f aca="false">IF(D39="","",C39*EMI_MonthlyRate)</f>
        <v>7484.75683475826</v>
      </c>
      <c r="G39" s="11" t="n">
        <f aca="false">IF(D39="","",MAX(C39-E39,0))</f>
        <v>943606.413557466</v>
      </c>
    </row>
    <row r="40" customFormat="false" ht="15" hidden="false" customHeight="true" outlineLevel="0" collapsed="false">
      <c r="A40" s="14" t="n">
        <f aca="false">A39+1</f>
        <v>36</v>
      </c>
      <c r="B40" s="55" t="n">
        <f aca="false">IF(D40="","",EDATE(EMI_StartDate,A40))</f>
        <v>47311</v>
      </c>
      <c r="C40" s="15" t="n">
        <f aca="false">IF(D39="","",G39)</f>
        <v>943606.413557466</v>
      </c>
      <c r="D40" s="15" t="n">
        <f aca="false">IF(A40&gt;EMI_NPer,"",EMI_Payment)</f>
        <v>9321.31187833522</v>
      </c>
      <c r="E40" s="15" t="n">
        <f aca="false">IF(D40="","",D40-F40)</f>
        <v>1851.09443767195</v>
      </c>
      <c r="F40" s="15" t="n">
        <f aca="false">IF(D40="","",C40*EMI_MonthlyRate)</f>
        <v>7470.21744066327</v>
      </c>
      <c r="G40" s="15" t="n">
        <f aca="false">IF(D40="","",MAX(C40-E40,0))</f>
        <v>941755.319119794</v>
      </c>
    </row>
    <row r="41" customFormat="false" ht="15" hidden="false" customHeight="true" outlineLevel="0" collapsed="false">
      <c r="A41" s="10" t="n">
        <f aca="false">A40+1</f>
        <v>37</v>
      </c>
      <c r="B41" s="54" t="n">
        <f aca="false">IF(D41="","",EDATE(EMI_StartDate,A41))</f>
        <v>47342</v>
      </c>
      <c r="C41" s="11" t="n">
        <f aca="false">IF(D40="","",G40)</f>
        <v>941755.319119794</v>
      </c>
      <c r="D41" s="11" t="n">
        <f aca="false">IF(A41&gt;EMI_NPer,"",EMI_Payment)</f>
        <v>9321.31187833522</v>
      </c>
      <c r="E41" s="11" t="n">
        <f aca="false">IF(D41="","",D41-F41)</f>
        <v>1865.74893530352</v>
      </c>
      <c r="F41" s="11" t="n">
        <f aca="false">IF(D41="","",C41*EMI_MonthlyRate)</f>
        <v>7455.5629430317</v>
      </c>
      <c r="G41" s="11" t="n">
        <f aca="false">IF(D41="","",MAX(C41-E41,0))</f>
        <v>939889.57018449</v>
      </c>
    </row>
    <row r="42" customFormat="false" ht="15" hidden="false" customHeight="true" outlineLevel="0" collapsed="false">
      <c r="A42" s="14" t="n">
        <f aca="false">A41+1</f>
        <v>38</v>
      </c>
      <c r="B42" s="55" t="n">
        <f aca="false">IF(D42="","",EDATE(EMI_StartDate,A42))</f>
        <v>47373</v>
      </c>
      <c r="C42" s="15" t="n">
        <f aca="false">IF(D41="","",G41)</f>
        <v>939889.57018449</v>
      </c>
      <c r="D42" s="15" t="n">
        <f aca="false">IF(A42&gt;EMI_NPer,"",EMI_Payment)</f>
        <v>9321.31187833522</v>
      </c>
      <c r="E42" s="15" t="n">
        <f aca="false">IF(D42="","",D42-F42)</f>
        <v>1880.519447708</v>
      </c>
      <c r="F42" s="15" t="n">
        <f aca="false">IF(D42="","",C42*EMI_MonthlyRate)</f>
        <v>7440.79243062721</v>
      </c>
      <c r="G42" s="15" t="n">
        <f aca="false">IF(D42="","",MAX(C42-E42,0))</f>
        <v>938009.050736782</v>
      </c>
    </row>
    <row r="43" customFormat="false" ht="15" hidden="false" customHeight="true" outlineLevel="0" collapsed="false">
      <c r="A43" s="10" t="n">
        <f aca="false">A42+1</f>
        <v>39</v>
      </c>
      <c r="B43" s="54" t="n">
        <f aca="false">IF(D43="","",EDATE(EMI_StartDate,A43))</f>
        <v>47403</v>
      </c>
      <c r="C43" s="11" t="n">
        <f aca="false">IF(D42="","",G42)</f>
        <v>938009.050736782</v>
      </c>
      <c r="D43" s="11" t="n">
        <f aca="false">IF(A43&gt;EMI_NPer,"",EMI_Payment)</f>
        <v>9321.31187833522</v>
      </c>
      <c r="E43" s="11" t="n">
        <f aca="false">IF(D43="","",D43-F43)</f>
        <v>1895.40689333569</v>
      </c>
      <c r="F43" s="11" t="n">
        <f aca="false">IF(D43="","",C43*EMI_MonthlyRate)</f>
        <v>7425.90498499953</v>
      </c>
      <c r="G43" s="11" t="n">
        <f aca="false">IF(D43="","",MAX(C43-E43,0))</f>
        <v>936113.643843446</v>
      </c>
    </row>
    <row r="44" customFormat="false" ht="15" hidden="false" customHeight="true" outlineLevel="0" collapsed="false">
      <c r="A44" s="14" t="n">
        <f aca="false">A43+1</f>
        <v>40</v>
      </c>
      <c r="B44" s="55" t="n">
        <f aca="false">IF(D44="","",EDATE(EMI_StartDate,A44))</f>
        <v>47434</v>
      </c>
      <c r="C44" s="15" t="n">
        <f aca="false">IF(D43="","",G43)</f>
        <v>936113.643843446</v>
      </c>
      <c r="D44" s="15" t="n">
        <f aca="false">IF(A44&gt;EMI_NPer,"",EMI_Payment)</f>
        <v>9321.31187833522</v>
      </c>
      <c r="E44" s="15" t="n">
        <f aca="false">IF(D44="","",D44-F44)</f>
        <v>1910.41219790793</v>
      </c>
      <c r="F44" s="15" t="n">
        <f aca="false">IF(D44="","",C44*EMI_MonthlyRate)</f>
        <v>7410.89968042729</v>
      </c>
      <c r="G44" s="15" t="n">
        <f aca="false">IF(D44="","",MAX(C44-E44,0))</f>
        <v>934203.231645539</v>
      </c>
    </row>
    <row r="45" customFormat="false" ht="15" hidden="false" customHeight="true" outlineLevel="0" collapsed="false">
      <c r="A45" s="10" t="n">
        <f aca="false">A44+1</f>
        <v>41</v>
      </c>
      <c r="B45" s="54" t="n">
        <f aca="false">IF(D45="","",EDATE(EMI_StartDate,A45))</f>
        <v>47464</v>
      </c>
      <c r="C45" s="11" t="n">
        <f aca="false">IF(D44="","",G44)</f>
        <v>934203.231645539</v>
      </c>
      <c r="D45" s="11" t="n">
        <f aca="false">IF(A45&gt;EMI_NPer,"",EMI_Payment)</f>
        <v>9321.31187833522</v>
      </c>
      <c r="E45" s="11" t="n">
        <f aca="false">IF(D45="","",D45-F45)</f>
        <v>1925.5362944747</v>
      </c>
      <c r="F45" s="11" t="n">
        <f aca="false">IF(D45="","",C45*EMI_MonthlyRate)</f>
        <v>7395.77558386051</v>
      </c>
      <c r="G45" s="11" t="n">
        <f aca="false">IF(D45="","",MAX(C45-E45,0))</f>
        <v>932277.695351064</v>
      </c>
    </row>
    <row r="46" customFormat="false" ht="15" hidden="false" customHeight="true" outlineLevel="0" collapsed="false">
      <c r="A46" s="14" t="n">
        <f aca="false">A45+1</f>
        <v>42</v>
      </c>
      <c r="B46" s="55" t="n">
        <f aca="false">IF(D46="","",EDATE(EMI_StartDate,A46))</f>
        <v>47495</v>
      </c>
      <c r="C46" s="15" t="n">
        <f aca="false">IF(D45="","",G45)</f>
        <v>932277.695351064</v>
      </c>
      <c r="D46" s="15" t="n">
        <f aca="false">IF(A46&gt;EMI_NPer,"",EMI_Payment)</f>
        <v>9321.31187833522</v>
      </c>
      <c r="E46" s="15" t="n">
        <f aca="false">IF(D46="","",D46-F46)</f>
        <v>1940.78012347263</v>
      </c>
      <c r="F46" s="15" t="n">
        <f aca="false">IF(D46="","",C46*EMI_MonthlyRate)</f>
        <v>7380.53175486259</v>
      </c>
      <c r="G46" s="15" t="n">
        <f aca="false">IF(D46="","",MAX(C46-E46,0))</f>
        <v>930336.915227591</v>
      </c>
    </row>
    <row r="47" customFormat="false" ht="15" hidden="false" customHeight="true" outlineLevel="0" collapsed="false">
      <c r="A47" s="10" t="n">
        <f aca="false">A46+1</f>
        <v>43</v>
      </c>
      <c r="B47" s="54" t="n">
        <f aca="false">IF(D47="","",EDATE(EMI_StartDate,A47))</f>
        <v>47526</v>
      </c>
      <c r="C47" s="11" t="n">
        <f aca="false">IF(D46="","",G46)</f>
        <v>930336.915227591</v>
      </c>
      <c r="D47" s="11" t="n">
        <f aca="false">IF(A47&gt;EMI_NPer,"",EMI_Payment)</f>
        <v>9321.31187833522</v>
      </c>
      <c r="E47" s="11" t="n">
        <f aca="false">IF(D47="","",D47-F47)</f>
        <v>1956.14463278346</v>
      </c>
      <c r="F47" s="11" t="n">
        <f aca="false">IF(D47="","",C47*EMI_MonthlyRate)</f>
        <v>7365.16724555176</v>
      </c>
      <c r="G47" s="11" t="n">
        <f aca="false">IF(D47="","",MAX(C47-E47,0))</f>
        <v>928380.770594808</v>
      </c>
    </row>
    <row r="48" customFormat="false" ht="15" hidden="false" customHeight="true" outlineLevel="0" collapsed="false">
      <c r="A48" s="14" t="n">
        <f aca="false">A47+1</f>
        <v>44</v>
      </c>
      <c r="B48" s="55" t="n">
        <f aca="false">IF(D48="","",EDATE(EMI_StartDate,A48))</f>
        <v>47554</v>
      </c>
      <c r="C48" s="15" t="n">
        <f aca="false">IF(D47="","",G47)</f>
        <v>928380.770594808</v>
      </c>
      <c r="D48" s="15" t="n">
        <f aca="false">IF(A48&gt;EMI_NPer,"",EMI_Payment)</f>
        <v>9321.31187833522</v>
      </c>
      <c r="E48" s="15" t="n">
        <f aca="false">IF(D48="","",D48-F48)</f>
        <v>1971.63077779299</v>
      </c>
      <c r="F48" s="15" t="n">
        <f aca="false">IF(D48="","",C48*EMI_MonthlyRate)</f>
        <v>7349.68110054223</v>
      </c>
      <c r="G48" s="15" t="n">
        <f aca="false">IF(D48="","",MAX(C48-E48,0))</f>
        <v>926409.139817015</v>
      </c>
    </row>
    <row r="49" customFormat="false" ht="15" hidden="false" customHeight="true" outlineLevel="0" collapsed="false">
      <c r="A49" s="10" t="n">
        <f aca="false">A48+1</f>
        <v>45</v>
      </c>
      <c r="B49" s="54" t="n">
        <f aca="false">IF(D49="","",EDATE(EMI_StartDate,A49))</f>
        <v>47585</v>
      </c>
      <c r="C49" s="11" t="n">
        <f aca="false">IF(D48="","",G48)</f>
        <v>926409.139817015</v>
      </c>
      <c r="D49" s="11" t="n">
        <f aca="false">IF(A49&gt;EMI_NPer,"",EMI_Payment)</f>
        <v>9321.31187833522</v>
      </c>
      <c r="E49" s="11" t="n">
        <f aca="false">IF(D49="","",D49-F49)</f>
        <v>1987.23952145052</v>
      </c>
      <c r="F49" s="11" t="n">
        <f aca="false">IF(D49="","",C49*EMI_MonthlyRate)</f>
        <v>7334.0723568847</v>
      </c>
      <c r="G49" s="11" t="n">
        <f aca="false">IF(D49="","",MAX(C49-E49,0))</f>
        <v>924421.900295564</v>
      </c>
    </row>
    <row r="50" customFormat="false" ht="15" hidden="false" customHeight="true" outlineLevel="0" collapsed="false">
      <c r="A50" s="14" t="n">
        <f aca="false">A49+1</f>
        <v>46</v>
      </c>
      <c r="B50" s="55" t="n">
        <f aca="false">IF(D50="","",EDATE(EMI_StartDate,A50))</f>
        <v>47615</v>
      </c>
      <c r="C50" s="15" t="n">
        <f aca="false">IF(D49="","",G49)</f>
        <v>924421.900295564</v>
      </c>
      <c r="D50" s="15" t="n">
        <f aca="false">IF(A50&gt;EMI_NPer,"",EMI_Payment)</f>
        <v>9321.31187833522</v>
      </c>
      <c r="E50" s="15" t="n">
        <f aca="false">IF(D50="","",D50-F50)</f>
        <v>2002.97183432867</v>
      </c>
      <c r="F50" s="15" t="n">
        <f aca="false">IF(D50="","",C50*EMI_MonthlyRate)</f>
        <v>7318.34004400655</v>
      </c>
      <c r="G50" s="15" t="n">
        <f aca="false">IF(D50="","",MAX(C50-E50,0))</f>
        <v>922418.928461235</v>
      </c>
    </row>
    <row r="51" customFormat="false" ht="15" hidden="false" customHeight="true" outlineLevel="0" collapsed="false">
      <c r="A51" s="10" t="n">
        <f aca="false">A50+1</f>
        <v>47</v>
      </c>
      <c r="B51" s="54" t="n">
        <f aca="false">IF(D51="","",EDATE(EMI_StartDate,A51))</f>
        <v>47646</v>
      </c>
      <c r="C51" s="11" t="n">
        <f aca="false">IF(D50="","",G50)</f>
        <v>922418.928461235</v>
      </c>
      <c r="D51" s="11" t="n">
        <f aca="false">IF(A51&gt;EMI_NPer,"",EMI_Payment)</f>
        <v>9321.31187833522</v>
      </c>
      <c r="E51" s="11" t="n">
        <f aca="false">IF(D51="","",D51-F51)</f>
        <v>2018.82869468377</v>
      </c>
      <c r="F51" s="11" t="n">
        <f aca="false">IF(D51="","",C51*EMI_MonthlyRate)</f>
        <v>7302.48318365145</v>
      </c>
      <c r="G51" s="11" t="n">
        <f aca="false">IF(D51="","",MAX(C51-E51,0))</f>
        <v>920400.099766552</v>
      </c>
    </row>
    <row r="52" customFormat="false" ht="15" hidden="false" customHeight="true" outlineLevel="0" collapsed="false">
      <c r="A52" s="14" t="n">
        <f aca="false">A51+1</f>
        <v>48</v>
      </c>
      <c r="B52" s="55" t="n">
        <f aca="false">IF(D52="","",EDATE(EMI_StartDate,A52))</f>
        <v>47676</v>
      </c>
      <c r="C52" s="15" t="n">
        <f aca="false">IF(D51="","",G51)</f>
        <v>920400.099766552</v>
      </c>
      <c r="D52" s="15" t="n">
        <f aca="false">IF(A52&gt;EMI_NPer,"",EMI_Payment)</f>
        <v>9321.31187833522</v>
      </c>
      <c r="E52" s="15" t="n">
        <f aca="false">IF(D52="","",D52-F52)</f>
        <v>2034.81108851668</v>
      </c>
      <c r="F52" s="15" t="n">
        <f aca="false">IF(D52="","",C52*EMI_MonthlyRate)</f>
        <v>7286.50078981853</v>
      </c>
      <c r="G52" s="15" t="n">
        <f aca="false">IF(D52="","",MAX(C52-E52,0))</f>
        <v>918365.288678035</v>
      </c>
    </row>
    <row r="53" customFormat="false" ht="15" hidden="false" customHeight="true" outlineLevel="0" collapsed="false">
      <c r="A53" s="10" t="n">
        <f aca="false">A52+1</f>
        <v>49</v>
      </c>
      <c r="B53" s="54" t="n">
        <f aca="false">IF(D53="","",EDATE(EMI_StartDate,A53))</f>
        <v>47707</v>
      </c>
      <c r="C53" s="11" t="n">
        <f aca="false">IF(D52="","",G52)</f>
        <v>918365.288678035</v>
      </c>
      <c r="D53" s="11" t="n">
        <f aca="false">IF(A53&gt;EMI_NPer,"",EMI_Payment)</f>
        <v>9321.31187833522</v>
      </c>
      <c r="E53" s="11" t="n">
        <f aca="false">IF(D53="","",D53-F53)</f>
        <v>2050.92000963411</v>
      </c>
      <c r="F53" s="11" t="n">
        <f aca="false">IF(D53="","",C53*EMI_MonthlyRate)</f>
        <v>7270.39186870111</v>
      </c>
      <c r="G53" s="11" t="n">
        <f aca="false">IF(D53="","",MAX(C53-E53,0))</f>
        <v>916314.368668401</v>
      </c>
    </row>
    <row r="54" customFormat="false" ht="15" hidden="false" customHeight="true" outlineLevel="0" collapsed="false">
      <c r="A54" s="14" t="n">
        <f aca="false">A53+1</f>
        <v>50</v>
      </c>
      <c r="B54" s="55" t="n">
        <f aca="false">IF(D54="","",EDATE(EMI_StartDate,A54))</f>
        <v>47738</v>
      </c>
      <c r="C54" s="15" t="n">
        <f aca="false">IF(D53="","",G53)</f>
        <v>916314.368668401</v>
      </c>
      <c r="D54" s="15" t="n">
        <f aca="false">IF(A54&gt;EMI_NPer,"",EMI_Payment)</f>
        <v>9321.31187833522</v>
      </c>
      <c r="E54" s="15" t="n">
        <f aca="false">IF(D54="","",D54-F54)</f>
        <v>2067.15645971038</v>
      </c>
      <c r="F54" s="15" t="n">
        <f aca="false">IF(D54="","",C54*EMI_MonthlyRate)</f>
        <v>7254.15541862484</v>
      </c>
      <c r="G54" s="15" t="n">
        <f aca="false">IF(D54="","",MAX(C54-E54,0))</f>
        <v>914247.212208691</v>
      </c>
    </row>
    <row r="55" customFormat="false" ht="15" hidden="false" customHeight="true" outlineLevel="0" collapsed="false">
      <c r="A55" s="10" t="n">
        <f aca="false">A54+1</f>
        <v>51</v>
      </c>
      <c r="B55" s="54" t="n">
        <f aca="false">IF(D55="","",EDATE(EMI_StartDate,A55))</f>
        <v>47768</v>
      </c>
      <c r="C55" s="11" t="n">
        <f aca="false">IF(D54="","",G54)</f>
        <v>914247.212208691</v>
      </c>
      <c r="D55" s="11" t="n">
        <f aca="false">IF(A55&gt;EMI_NPer,"",EMI_Payment)</f>
        <v>9321.31187833522</v>
      </c>
      <c r="E55" s="11" t="n">
        <f aca="false">IF(D55="","",D55-F55)</f>
        <v>2083.52144834975</v>
      </c>
      <c r="F55" s="11" t="n">
        <f aca="false">IF(D55="","",C55*EMI_MonthlyRate)</f>
        <v>7237.79042998547</v>
      </c>
      <c r="G55" s="11" t="n">
        <f aca="false">IF(D55="","",MAX(C55-E55,0))</f>
        <v>912163.690760341</v>
      </c>
    </row>
    <row r="56" customFormat="false" ht="15" hidden="false" customHeight="true" outlineLevel="0" collapsed="false">
      <c r="A56" s="14" t="n">
        <f aca="false">A55+1</f>
        <v>52</v>
      </c>
      <c r="B56" s="55" t="n">
        <f aca="false">IF(D56="","",EDATE(EMI_StartDate,A56))</f>
        <v>47799</v>
      </c>
      <c r="C56" s="15" t="n">
        <f aca="false">IF(D55="","",G55)</f>
        <v>912163.690760341</v>
      </c>
      <c r="D56" s="15" t="n">
        <f aca="false">IF(A56&gt;EMI_NPer,"",EMI_Payment)</f>
        <v>9321.31187833522</v>
      </c>
      <c r="E56" s="15" t="n">
        <f aca="false">IF(D56="","",D56-F56)</f>
        <v>2100.01599314919</v>
      </c>
      <c r="F56" s="15" t="n">
        <f aca="false">IF(D56="","",C56*EMI_MonthlyRate)</f>
        <v>7221.29588518603</v>
      </c>
      <c r="G56" s="15" t="n">
        <f aca="false">IF(D56="","",MAX(C56-E56,0))</f>
        <v>910063.674767192</v>
      </c>
    </row>
    <row r="57" customFormat="false" ht="15" hidden="false" customHeight="true" outlineLevel="0" collapsed="false">
      <c r="A57" s="10" t="n">
        <f aca="false">A56+1</f>
        <v>53</v>
      </c>
      <c r="B57" s="54" t="n">
        <f aca="false">IF(D57="","",EDATE(EMI_StartDate,A57))</f>
        <v>47829</v>
      </c>
      <c r="C57" s="11" t="n">
        <f aca="false">IF(D56="","",G56)</f>
        <v>910063.674767192</v>
      </c>
      <c r="D57" s="11" t="n">
        <f aca="false">IF(A57&gt;EMI_NPer,"",EMI_Payment)</f>
        <v>9321.31187833522</v>
      </c>
      <c r="E57" s="11" t="n">
        <f aca="false">IF(D57="","",D57-F57)</f>
        <v>2116.64111976162</v>
      </c>
      <c r="F57" s="11" t="n">
        <f aca="false">IF(D57="","",C57*EMI_MonthlyRate)</f>
        <v>7204.6707585736</v>
      </c>
      <c r="G57" s="11" t="n">
        <f aca="false">IF(D57="","",MAX(C57-E57,0))</f>
        <v>907947.03364743</v>
      </c>
    </row>
    <row r="58" customFormat="false" ht="15" hidden="false" customHeight="true" outlineLevel="0" collapsed="false">
      <c r="A58" s="14" t="n">
        <f aca="false">A57+1</f>
        <v>54</v>
      </c>
      <c r="B58" s="55" t="n">
        <f aca="false">IF(D58="","",EDATE(EMI_StartDate,A58))</f>
        <v>47860</v>
      </c>
      <c r="C58" s="15" t="n">
        <f aca="false">IF(D57="","",G57)</f>
        <v>907947.03364743</v>
      </c>
      <c r="D58" s="15" t="n">
        <f aca="false">IF(A58&gt;EMI_NPer,"",EMI_Payment)</f>
        <v>9321.31187833522</v>
      </c>
      <c r="E58" s="15" t="n">
        <f aca="false">IF(D58="","",D58-F58)</f>
        <v>2133.39786195973</v>
      </c>
      <c r="F58" s="15" t="n">
        <f aca="false">IF(D58="","",C58*EMI_MonthlyRate)</f>
        <v>7187.91401637549</v>
      </c>
      <c r="G58" s="15" t="n">
        <f aca="false">IF(D58="","",MAX(C58-E58,0))</f>
        <v>905813.63578547</v>
      </c>
    </row>
    <row r="59" customFormat="false" ht="15" hidden="false" customHeight="true" outlineLevel="0" collapsed="false">
      <c r="A59" s="10" t="n">
        <f aca="false">A58+1</f>
        <v>55</v>
      </c>
      <c r="B59" s="54" t="n">
        <f aca="false">IF(D59="","",EDATE(EMI_StartDate,A59))</f>
        <v>47891</v>
      </c>
      <c r="C59" s="11" t="n">
        <f aca="false">IF(D58="","",G58)</f>
        <v>905813.63578547</v>
      </c>
      <c r="D59" s="11" t="n">
        <f aca="false">IF(A59&gt;EMI_NPer,"",EMI_Payment)</f>
        <v>9321.31187833522</v>
      </c>
      <c r="E59" s="11" t="n">
        <f aca="false">IF(D59="","",D59-F59)</f>
        <v>2150.28726170025</v>
      </c>
      <c r="F59" s="11" t="n">
        <f aca="false">IF(D59="","",C59*EMI_MonthlyRate)</f>
        <v>7171.02461663497</v>
      </c>
      <c r="G59" s="11" t="n">
        <f aca="false">IF(D59="","",MAX(C59-E59,0))</f>
        <v>903663.34852377</v>
      </c>
    </row>
    <row r="60" customFormat="false" ht="15" hidden="false" customHeight="true" outlineLevel="0" collapsed="false">
      <c r="A60" s="14" t="n">
        <f aca="false">A59+1</f>
        <v>56</v>
      </c>
      <c r="B60" s="55" t="n">
        <f aca="false">IF(D60="","",EDATE(EMI_StartDate,A60))</f>
        <v>47919</v>
      </c>
      <c r="C60" s="15" t="n">
        <f aca="false">IF(D59="","",G59)</f>
        <v>903663.34852377</v>
      </c>
      <c r="D60" s="15" t="n">
        <f aca="false">IF(A60&gt;EMI_NPer,"",EMI_Payment)</f>
        <v>9321.31187833522</v>
      </c>
      <c r="E60" s="15" t="n">
        <f aca="false">IF(D60="","",D60-F60)</f>
        <v>2167.31036918871</v>
      </c>
      <c r="F60" s="15" t="n">
        <f aca="false">IF(D60="","",C60*EMI_MonthlyRate)</f>
        <v>7154.00150914651</v>
      </c>
      <c r="G60" s="15" t="n">
        <f aca="false">IF(D60="","",MAX(C60-E60,0))</f>
        <v>901496.038154581</v>
      </c>
    </row>
    <row r="61" customFormat="false" ht="15" hidden="false" customHeight="true" outlineLevel="0" collapsed="false">
      <c r="A61" s="10" t="n">
        <f aca="false">A60+1</f>
        <v>57</v>
      </c>
      <c r="B61" s="54" t="n">
        <f aca="false">IF(D61="","",EDATE(EMI_StartDate,A61))</f>
        <v>47950</v>
      </c>
      <c r="C61" s="11" t="n">
        <f aca="false">IF(D60="","",G60)</f>
        <v>901496.038154581</v>
      </c>
      <c r="D61" s="11" t="n">
        <f aca="false">IF(A61&gt;EMI_NPer,"",EMI_Payment)</f>
        <v>9321.31187833522</v>
      </c>
      <c r="E61" s="11" t="n">
        <f aca="false">IF(D61="","",D61-F61)</f>
        <v>2184.46824294478</v>
      </c>
      <c r="F61" s="11" t="n">
        <f aca="false">IF(D61="","",C61*EMI_MonthlyRate)</f>
        <v>7136.84363539044</v>
      </c>
      <c r="G61" s="11" t="n">
        <f aca="false">IF(D61="","",MAX(C61-E61,0))</f>
        <v>899311.569911637</v>
      </c>
    </row>
    <row r="62" customFormat="false" ht="15" hidden="false" customHeight="true" outlineLevel="0" collapsed="false">
      <c r="A62" s="14" t="n">
        <f aca="false">A61+1</f>
        <v>58</v>
      </c>
      <c r="B62" s="55" t="n">
        <f aca="false">IF(D62="","",EDATE(EMI_StartDate,A62))</f>
        <v>47980</v>
      </c>
      <c r="C62" s="15" t="n">
        <f aca="false">IF(D61="","",G61)</f>
        <v>899311.569911637</v>
      </c>
      <c r="D62" s="15" t="n">
        <f aca="false">IF(A62&gt;EMI_NPer,"",EMI_Payment)</f>
        <v>9321.31187833522</v>
      </c>
      <c r="E62" s="15" t="n">
        <f aca="false">IF(D62="","",D62-F62)</f>
        <v>2201.7619498681</v>
      </c>
      <c r="F62" s="15" t="n">
        <f aca="false">IF(D62="","",C62*EMI_MonthlyRate)</f>
        <v>7119.54992846712</v>
      </c>
      <c r="G62" s="15" t="n">
        <f aca="false">IF(D62="","",MAX(C62-E62,0))</f>
        <v>897109.807961769</v>
      </c>
    </row>
    <row r="63" customFormat="false" ht="15" hidden="false" customHeight="true" outlineLevel="0" collapsed="false">
      <c r="A63" s="10" t="n">
        <f aca="false">A62+1</f>
        <v>59</v>
      </c>
      <c r="B63" s="54" t="n">
        <f aca="false">IF(D63="","",EDATE(EMI_StartDate,A63))</f>
        <v>48011</v>
      </c>
      <c r="C63" s="11" t="n">
        <f aca="false">IF(D62="","",G62)</f>
        <v>897109.807961769</v>
      </c>
      <c r="D63" s="11" t="n">
        <f aca="false">IF(A63&gt;EMI_NPer,"",EMI_Payment)</f>
        <v>9321.31187833522</v>
      </c>
      <c r="E63" s="11" t="n">
        <f aca="false">IF(D63="","",D63-F63)</f>
        <v>2219.19256530455</v>
      </c>
      <c r="F63" s="11" t="n">
        <f aca="false">IF(D63="","",C63*EMI_MonthlyRate)</f>
        <v>7102.11931303067</v>
      </c>
      <c r="G63" s="11" t="n">
        <f aca="false">IF(D63="","",MAX(C63-E63,0))</f>
        <v>894890.615396464</v>
      </c>
    </row>
    <row r="64" customFormat="false" ht="15" hidden="false" customHeight="true" outlineLevel="0" collapsed="false">
      <c r="A64" s="14" t="n">
        <f aca="false">A63+1</f>
        <v>60</v>
      </c>
      <c r="B64" s="55" t="n">
        <f aca="false">IF(D64="","",EDATE(EMI_StartDate,A64))</f>
        <v>48041</v>
      </c>
      <c r="C64" s="15" t="n">
        <f aca="false">IF(D63="","",G63)</f>
        <v>894890.615396464</v>
      </c>
      <c r="D64" s="15" t="n">
        <f aca="false">IF(A64&gt;EMI_NPer,"",EMI_Payment)</f>
        <v>9321.31187833522</v>
      </c>
      <c r="E64" s="15" t="n">
        <f aca="false">IF(D64="","",D64-F64)</f>
        <v>2236.76117311321</v>
      </c>
      <c r="F64" s="15" t="n">
        <f aca="false">IF(D64="","",C64*EMI_MonthlyRate)</f>
        <v>7084.55070522201</v>
      </c>
      <c r="G64" s="15" t="n">
        <f aca="false">IF(D64="","",MAX(C64-E64,0))</f>
        <v>892653.854223351</v>
      </c>
    </row>
    <row r="65" customFormat="false" ht="15" hidden="false" customHeight="true" outlineLevel="0" collapsed="false">
      <c r="A65" s="10" t="n">
        <f aca="false">A64+1</f>
        <v>61</v>
      </c>
      <c r="B65" s="54" t="n">
        <f aca="false">IF(D65="","",EDATE(EMI_StartDate,A65))</f>
        <v>48072</v>
      </c>
      <c r="C65" s="11" t="n">
        <f aca="false">IF(D64="","",G64)</f>
        <v>892653.854223351</v>
      </c>
      <c r="D65" s="11" t="n">
        <f aca="false">IF(A65&gt;EMI_NPer,"",EMI_Payment)</f>
        <v>9321.31187833522</v>
      </c>
      <c r="E65" s="11" t="n">
        <f aca="false">IF(D65="","",D65-F65)</f>
        <v>2254.46886573369</v>
      </c>
      <c r="F65" s="11" t="n">
        <f aca="false">IF(D65="","",C65*EMI_MonthlyRate)</f>
        <v>7066.84301260153</v>
      </c>
      <c r="G65" s="11" t="n">
        <f aca="false">IF(D65="","",MAX(C65-E65,0))</f>
        <v>890399.385357617</v>
      </c>
    </row>
    <row r="66" customFormat="false" ht="15" hidden="false" customHeight="true" outlineLevel="0" collapsed="false">
      <c r="A66" s="14" t="n">
        <f aca="false">A65+1</f>
        <v>62</v>
      </c>
      <c r="B66" s="55" t="n">
        <f aca="false">IF(D66="","",EDATE(EMI_StartDate,A66))</f>
        <v>48103</v>
      </c>
      <c r="C66" s="15" t="n">
        <f aca="false">IF(D65="","",G65)</f>
        <v>890399.385357617</v>
      </c>
      <c r="D66" s="15" t="n">
        <f aca="false">IF(A66&gt;EMI_NPer,"",EMI_Payment)</f>
        <v>9321.31187833522</v>
      </c>
      <c r="E66" s="15" t="n">
        <f aca="false">IF(D66="","",D66-F66)</f>
        <v>2272.31674425408</v>
      </c>
      <c r="F66" s="15" t="n">
        <f aca="false">IF(D66="","",C66*EMI_MonthlyRate)</f>
        <v>7048.99513408114</v>
      </c>
      <c r="G66" s="15" t="n">
        <f aca="false">IF(D66="","",MAX(C66-E66,0))</f>
        <v>888127.068613363</v>
      </c>
    </row>
    <row r="67" customFormat="false" ht="15" hidden="false" customHeight="true" outlineLevel="0" collapsed="false">
      <c r="A67" s="10" t="n">
        <f aca="false">A66+1</f>
        <v>63</v>
      </c>
      <c r="B67" s="54" t="n">
        <f aca="false">IF(D67="","",EDATE(EMI_StartDate,A67))</f>
        <v>48133</v>
      </c>
      <c r="C67" s="11" t="n">
        <f aca="false">IF(D66="","",G66)</f>
        <v>888127.068613363</v>
      </c>
      <c r="D67" s="11" t="n">
        <f aca="false">IF(A67&gt;EMI_NPer,"",EMI_Payment)</f>
        <v>9321.31187833522</v>
      </c>
      <c r="E67" s="11" t="n">
        <f aca="false">IF(D67="","",D67-F67)</f>
        <v>2290.30591847943</v>
      </c>
      <c r="F67" s="11" t="n">
        <f aca="false">IF(D67="","",C67*EMI_MonthlyRate)</f>
        <v>7031.00595985579</v>
      </c>
      <c r="G67" s="11" t="n">
        <f aca="false">IF(D67="","",MAX(C67-E67,0))</f>
        <v>885836.762694883</v>
      </c>
    </row>
    <row r="68" customFormat="false" ht="15" hidden="false" customHeight="true" outlineLevel="0" collapsed="false">
      <c r="A68" s="14" t="n">
        <f aca="false">A67+1</f>
        <v>64</v>
      </c>
      <c r="B68" s="55" t="n">
        <f aca="false">IF(D68="","",EDATE(EMI_StartDate,A68))</f>
        <v>48164</v>
      </c>
      <c r="C68" s="15" t="n">
        <f aca="false">IF(D67="","",G67)</f>
        <v>885836.762694883</v>
      </c>
      <c r="D68" s="15" t="n">
        <f aca="false">IF(A68&gt;EMI_NPer,"",EMI_Payment)</f>
        <v>9321.31187833522</v>
      </c>
      <c r="E68" s="15" t="n">
        <f aca="false">IF(D68="","",D68-F68)</f>
        <v>2308.43750700072</v>
      </c>
      <c r="F68" s="15" t="n">
        <f aca="false">IF(D68="","",C68*EMI_MonthlyRate)</f>
        <v>7012.87437133449</v>
      </c>
      <c r="G68" s="15" t="n">
        <f aca="false">IF(D68="","",MAX(C68-E68,0))</f>
        <v>883528.325187883</v>
      </c>
    </row>
    <row r="69" customFormat="false" ht="15" hidden="false" customHeight="true" outlineLevel="0" collapsed="false">
      <c r="A69" s="10" t="n">
        <f aca="false">A68+1</f>
        <v>65</v>
      </c>
      <c r="B69" s="54" t="n">
        <f aca="false">IF(D69="","",EDATE(EMI_StartDate,A69))</f>
        <v>48194</v>
      </c>
      <c r="C69" s="11" t="n">
        <f aca="false">IF(D68="","",G68)</f>
        <v>883528.325187883</v>
      </c>
      <c r="D69" s="11" t="n">
        <f aca="false">IF(A69&gt;EMI_NPer,"",EMI_Payment)</f>
        <v>9321.31187833522</v>
      </c>
      <c r="E69" s="11" t="n">
        <f aca="false">IF(D69="","",D69-F69)</f>
        <v>2326.71263726448</v>
      </c>
      <c r="F69" s="11" t="n">
        <f aca="false">IF(D69="","",C69*EMI_MonthlyRate)</f>
        <v>6994.59924107074</v>
      </c>
      <c r="G69" s="11" t="n">
        <f aca="false">IF(D69="","",MAX(C69-E69,0))</f>
        <v>881201.612550618</v>
      </c>
    </row>
    <row r="70" customFormat="false" ht="15" hidden="false" customHeight="true" outlineLevel="0" collapsed="false">
      <c r="A70" s="14" t="n">
        <f aca="false">A69+1</f>
        <v>66</v>
      </c>
      <c r="B70" s="55" t="n">
        <f aca="false">IF(D70="","",EDATE(EMI_StartDate,A70))</f>
        <v>48225</v>
      </c>
      <c r="C70" s="15" t="n">
        <f aca="false">IF(D69="","",G69)</f>
        <v>881201.612550618</v>
      </c>
      <c r="D70" s="15" t="n">
        <f aca="false">IF(A70&gt;EMI_NPer,"",EMI_Payment)</f>
        <v>9321.31187833522</v>
      </c>
      <c r="E70" s="15" t="n">
        <f aca="false">IF(D70="","",D70-F70)</f>
        <v>2345.13244564282</v>
      </c>
      <c r="F70" s="15" t="n">
        <f aca="false">IF(D70="","",C70*EMI_MonthlyRate)</f>
        <v>6976.17943269239</v>
      </c>
      <c r="G70" s="15" t="n">
        <f aca="false">IF(D70="","",MAX(C70-E70,0))</f>
        <v>878856.480104975</v>
      </c>
    </row>
    <row r="71" customFormat="false" ht="15" hidden="false" customHeight="true" outlineLevel="0" collapsed="false">
      <c r="A71" s="10" t="n">
        <f aca="false">A70+1</f>
        <v>67</v>
      </c>
      <c r="B71" s="54" t="n">
        <f aca="false">IF(D71="","",EDATE(EMI_StartDate,A71))</f>
        <v>48256</v>
      </c>
      <c r="C71" s="11" t="n">
        <f aca="false">IF(D70="","",G70)</f>
        <v>878856.480104975</v>
      </c>
      <c r="D71" s="11" t="n">
        <f aca="false">IF(A71&gt;EMI_NPer,"",EMI_Payment)</f>
        <v>9321.31187833522</v>
      </c>
      <c r="E71" s="11" t="n">
        <f aca="false">IF(D71="","",D71-F71)</f>
        <v>2363.69807750416</v>
      </c>
      <c r="F71" s="11" t="n">
        <f aca="false">IF(D71="","",C71*EMI_MonthlyRate)</f>
        <v>6957.61380083105</v>
      </c>
      <c r="G71" s="11" t="n">
        <f aca="false">IF(D71="","",MAX(C71-E71,0))</f>
        <v>876492.782027471</v>
      </c>
    </row>
    <row r="72" customFormat="false" ht="15" hidden="false" customHeight="true" outlineLevel="0" collapsed="false">
      <c r="A72" s="14" t="n">
        <f aca="false">A71+1</f>
        <v>68</v>
      </c>
      <c r="B72" s="55" t="n">
        <f aca="false">IF(D72="","",EDATE(EMI_StartDate,A72))</f>
        <v>48285</v>
      </c>
      <c r="C72" s="15" t="n">
        <f aca="false">IF(D71="","",G71)</f>
        <v>876492.782027471</v>
      </c>
      <c r="D72" s="15" t="n">
        <f aca="false">IF(A72&gt;EMI_NPer,"",EMI_Payment)</f>
        <v>9321.31187833522</v>
      </c>
      <c r="E72" s="15" t="n">
        <f aca="false">IF(D72="","",D72-F72)</f>
        <v>2382.41068728441</v>
      </c>
      <c r="F72" s="15" t="n">
        <f aca="false">IF(D72="","",C72*EMI_MonthlyRate)</f>
        <v>6938.90119105081</v>
      </c>
      <c r="G72" s="15" t="n">
        <f aca="false">IF(D72="","",MAX(C72-E72,0))</f>
        <v>874110.371340187</v>
      </c>
    </row>
    <row r="73" customFormat="false" ht="15" hidden="false" customHeight="true" outlineLevel="0" collapsed="false">
      <c r="A73" s="10" t="n">
        <f aca="false">A72+1</f>
        <v>69</v>
      </c>
      <c r="B73" s="54" t="n">
        <f aca="false">IF(D73="","",EDATE(EMI_StartDate,A73))</f>
        <v>48316</v>
      </c>
      <c r="C73" s="11" t="n">
        <f aca="false">IF(D72="","",G72)</f>
        <v>874110.371340187</v>
      </c>
      <c r="D73" s="11" t="n">
        <f aca="false">IF(A73&gt;EMI_NPer,"",EMI_Payment)</f>
        <v>9321.31187833522</v>
      </c>
      <c r="E73" s="11" t="n">
        <f aca="false">IF(D73="","",D73-F73)</f>
        <v>2401.27143855874</v>
      </c>
      <c r="F73" s="11" t="n">
        <f aca="false">IF(D73="","",C73*EMI_MonthlyRate)</f>
        <v>6920.04043977648</v>
      </c>
      <c r="G73" s="11" t="n">
        <f aca="false">IF(D73="","",MAX(C73-E73,0))</f>
        <v>871709.099901628</v>
      </c>
    </row>
    <row r="74" customFormat="false" ht="15" hidden="false" customHeight="true" outlineLevel="0" collapsed="false">
      <c r="A74" s="14" t="n">
        <f aca="false">A73+1</f>
        <v>70</v>
      </c>
      <c r="B74" s="55" t="n">
        <f aca="false">IF(D74="","",EDATE(EMI_StartDate,A74))</f>
        <v>48346</v>
      </c>
      <c r="C74" s="15" t="n">
        <f aca="false">IF(D73="","",G73)</f>
        <v>871709.099901628</v>
      </c>
      <c r="D74" s="15" t="n">
        <f aca="false">IF(A74&gt;EMI_NPer,"",EMI_Payment)</f>
        <v>9321.31187833522</v>
      </c>
      <c r="E74" s="15" t="n">
        <f aca="false">IF(D74="","",D74-F74)</f>
        <v>2420.281504114</v>
      </c>
      <c r="F74" s="15" t="n">
        <f aca="false">IF(D74="","",C74*EMI_MonthlyRate)</f>
        <v>6901.03037422122</v>
      </c>
      <c r="G74" s="15" t="n">
        <f aca="false">IF(D74="","",MAX(C74-E74,0))</f>
        <v>869288.818397514</v>
      </c>
    </row>
    <row r="75" customFormat="false" ht="15" hidden="false" customHeight="true" outlineLevel="0" collapsed="false">
      <c r="A75" s="10" t="n">
        <f aca="false">A74+1</f>
        <v>71</v>
      </c>
      <c r="B75" s="54" t="n">
        <f aca="false">IF(D75="","",EDATE(EMI_StartDate,A75))</f>
        <v>48377</v>
      </c>
      <c r="C75" s="11" t="n">
        <f aca="false">IF(D74="","",G74)</f>
        <v>869288.818397514</v>
      </c>
      <c r="D75" s="11" t="n">
        <f aca="false">IF(A75&gt;EMI_NPer,"",EMI_Payment)</f>
        <v>9321.31187833522</v>
      </c>
      <c r="E75" s="11" t="n">
        <f aca="false">IF(D75="","",D75-F75)</f>
        <v>2439.44206602157</v>
      </c>
      <c r="F75" s="11" t="n">
        <f aca="false">IF(D75="","",C75*EMI_MonthlyRate)</f>
        <v>6881.86981231365</v>
      </c>
      <c r="G75" s="11" t="n">
        <f aca="false">IF(D75="","",MAX(C75-E75,0))</f>
        <v>866849.376331492</v>
      </c>
    </row>
    <row r="76" customFormat="false" ht="15" hidden="false" customHeight="true" outlineLevel="0" collapsed="false">
      <c r="A76" s="14" t="n">
        <f aca="false">A75+1</f>
        <v>72</v>
      </c>
      <c r="B76" s="55" t="n">
        <f aca="false">IF(D76="","",EDATE(EMI_StartDate,A76))</f>
        <v>48407</v>
      </c>
      <c r="C76" s="15" t="n">
        <f aca="false">IF(D75="","",G75)</f>
        <v>866849.376331492</v>
      </c>
      <c r="D76" s="15" t="n">
        <f aca="false">IF(A76&gt;EMI_NPer,"",EMI_Payment)</f>
        <v>9321.31187833522</v>
      </c>
      <c r="E76" s="15" t="n">
        <f aca="false">IF(D76="","",D76-F76)</f>
        <v>2458.7543157109</v>
      </c>
      <c r="F76" s="15" t="n">
        <f aca="false">IF(D76="","",C76*EMI_MonthlyRate)</f>
        <v>6862.55756262431</v>
      </c>
      <c r="G76" s="15" t="n">
        <f aca="false">IF(D76="","",MAX(C76-E76,0))</f>
        <v>864390.622015782</v>
      </c>
    </row>
    <row r="77" customFormat="false" ht="15" hidden="false" customHeight="true" outlineLevel="0" collapsed="false">
      <c r="A77" s="10" t="n">
        <f aca="false">A76+1</f>
        <v>73</v>
      </c>
      <c r="B77" s="54" t="n">
        <f aca="false">IF(D77="","",EDATE(EMI_StartDate,A77))</f>
        <v>48438</v>
      </c>
      <c r="C77" s="11" t="n">
        <f aca="false">IF(D76="","",G76)</f>
        <v>864390.622015782</v>
      </c>
      <c r="D77" s="11" t="n">
        <f aca="false">IF(A77&gt;EMI_NPer,"",EMI_Payment)</f>
        <v>9321.31187833522</v>
      </c>
      <c r="E77" s="11" t="n">
        <f aca="false">IF(D77="","",D77-F77)</f>
        <v>2478.21945404362</v>
      </c>
      <c r="F77" s="11" t="n">
        <f aca="false">IF(D77="","",C77*EMI_MonthlyRate)</f>
        <v>6843.0924242916</v>
      </c>
      <c r="G77" s="11" t="n">
        <f aca="false">IF(D77="","",MAX(C77-E77,0))</f>
        <v>861912.402561738</v>
      </c>
    </row>
    <row r="78" customFormat="false" ht="15" hidden="false" customHeight="true" outlineLevel="0" collapsed="false">
      <c r="A78" s="14" t="n">
        <f aca="false">A77+1</f>
        <v>74</v>
      </c>
      <c r="B78" s="55" t="n">
        <f aca="false">IF(D78="","",EDATE(EMI_StartDate,A78))</f>
        <v>48469</v>
      </c>
      <c r="C78" s="15" t="n">
        <f aca="false">IF(D77="","",G77)</f>
        <v>861912.402561738</v>
      </c>
      <c r="D78" s="15" t="n">
        <f aca="false">IF(A78&gt;EMI_NPer,"",EMI_Payment)</f>
        <v>9321.31187833522</v>
      </c>
      <c r="E78" s="15" t="n">
        <f aca="false">IF(D78="","",D78-F78)</f>
        <v>2497.83869138813</v>
      </c>
      <c r="F78" s="15" t="n">
        <f aca="false">IF(D78="","",C78*EMI_MonthlyRate)</f>
        <v>6823.47318694709</v>
      </c>
      <c r="G78" s="15" t="n">
        <f aca="false">IF(D78="","",MAX(C78-E78,0))</f>
        <v>859414.56387035</v>
      </c>
    </row>
    <row r="79" customFormat="false" ht="15" hidden="false" customHeight="true" outlineLevel="0" collapsed="false">
      <c r="A79" s="10" t="n">
        <f aca="false">A78+1</f>
        <v>75</v>
      </c>
      <c r="B79" s="54" t="n">
        <f aca="false">IF(D79="","",EDATE(EMI_StartDate,A79))</f>
        <v>48499</v>
      </c>
      <c r="C79" s="11" t="n">
        <f aca="false">IF(D78="","",G78)</f>
        <v>859414.56387035</v>
      </c>
      <c r="D79" s="11" t="n">
        <f aca="false">IF(A79&gt;EMI_NPer,"",EMI_Payment)</f>
        <v>9321.31187833522</v>
      </c>
      <c r="E79" s="11" t="n">
        <f aca="false">IF(D79="","",D79-F79)</f>
        <v>2517.61324769495</v>
      </c>
      <c r="F79" s="11" t="n">
        <f aca="false">IF(D79="","",C79*EMI_MonthlyRate)</f>
        <v>6803.69863064027</v>
      </c>
      <c r="G79" s="11" t="n">
        <f aca="false">IF(D79="","",MAX(C79-E79,0))</f>
        <v>856896.950622655</v>
      </c>
    </row>
    <row r="80" customFormat="false" ht="15" hidden="false" customHeight="true" outlineLevel="0" collapsed="false">
      <c r="A80" s="14" t="n">
        <f aca="false">A79+1</f>
        <v>76</v>
      </c>
      <c r="B80" s="55" t="n">
        <f aca="false">IF(D80="","",EDATE(EMI_StartDate,A80))</f>
        <v>48530</v>
      </c>
      <c r="C80" s="15" t="n">
        <f aca="false">IF(D79="","",G79)</f>
        <v>856896.950622655</v>
      </c>
      <c r="D80" s="15" t="n">
        <f aca="false">IF(A80&gt;EMI_NPer,"",EMI_Payment)</f>
        <v>9321.31187833522</v>
      </c>
      <c r="E80" s="15" t="n">
        <f aca="false">IF(D80="","",D80-F80)</f>
        <v>2537.54435257253</v>
      </c>
      <c r="F80" s="15" t="n">
        <f aca="false">IF(D80="","",C80*EMI_MonthlyRate)</f>
        <v>6783.76752576268</v>
      </c>
      <c r="G80" s="15" t="n">
        <f aca="false">IF(D80="","",MAX(C80-E80,0))</f>
        <v>854359.406270082</v>
      </c>
    </row>
    <row r="81" customFormat="false" ht="15" hidden="false" customHeight="true" outlineLevel="0" collapsed="false">
      <c r="A81" s="10" t="n">
        <f aca="false">A80+1</f>
        <v>77</v>
      </c>
      <c r="B81" s="54" t="n">
        <f aca="false">IF(D81="","",EDATE(EMI_StartDate,A81))</f>
        <v>48560</v>
      </c>
      <c r="C81" s="11" t="n">
        <f aca="false">IF(D80="","",G80)</f>
        <v>854359.406270082</v>
      </c>
      <c r="D81" s="11" t="n">
        <f aca="false">IF(A81&gt;EMI_NPer,"",EMI_Payment)</f>
        <v>9321.31187833522</v>
      </c>
      <c r="E81" s="11" t="n">
        <f aca="false">IF(D81="","",D81-F81)</f>
        <v>2557.63324536373</v>
      </c>
      <c r="F81" s="11" t="n">
        <f aca="false">IF(D81="","",C81*EMI_MonthlyRate)</f>
        <v>6763.67863297149</v>
      </c>
      <c r="G81" s="11" t="n">
        <f aca="false">IF(D81="","",MAX(C81-E81,0))</f>
        <v>851801.773024719</v>
      </c>
    </row>
    <row r="82" customFormat="false" ht="15" hidden="false" customHeight="true" outlineLevel="0" collapsed="false">
      <c r="A82" s="14" t="n">
        <f aca="false">A81+1</f>
        <v>78</v>
      </c>
      <c r="B82" s="55" t="n">
        <f aca="false">IF(D82="","",EDATE(EMI_StartDate,A82))</f>
        <v>48591</v>
      </c>
      <c r="C82" s="15" t="n">
        <f aca="false">IF(D81="","",G81)</f>
        <v>851801.773024719</v>
      </c>
      <c r="D82" s="15" t="n">
        <f aca="false">IF(A82&gt;EMI_NPer,"",EMI_Payment)</f>
        <v>9321.31187833522</v>
      </c>
      <c r="E82" s="15" t="n">
        <f aca="false">IF(D82="","",D82-F82)</f>
        <v>2577.88117522286</v>
      </c>
      <c r="F82" s="15" t="n">
        <f aca="false">IF(D82="","",C82*EMI_MonthlyRate)</f>
        <v>6743.43070311236</v>
      </c>
      <c r="G82" s="15" t="n">
        <f aca="false">IF(D82="","",MAX(C82-E82,0))</f>
        <v>849223.891849496</v>
      </c>
    </row>
    <row r="83" customFormat="false" ht="15" hidden="false" customHeight="true" outlineLevel="0" collapsed="false">
      <c r="A83" s="10" t="n">
        <f aca="false">A82+1</f>
        <v>79</v>
      </c>
      <c r="B83" s="54" t="n">
        <f aca="false">IF(D83="","",EDATE(EMI_StartDate,A83))</f>
        <v>48622</v>
      </c>
      <c r="C83" s="11" t="n">
        <f aca="false">IF(D82="","",G82)</f>
        <v>849223.891849496</v>
      </c>
      <c r="D83" s="11" t="n">
        <f aca="false">IF(A83&gt;EMI_NPer,"",EMI_Payment)</f>
        <v>9321.31187833522</v>
      </c>
      <c r="E83" s="11" t="n">
        <f aca="false">IF(D83="","",D83-F83)</f>
        <v>2598.28940119338</v>
      </c>
      <c r="F83" s="11" t="n">
        <f aca="false">IF(D83="","",C83*EMI_MonthlyRate)</f>
        <v>6723.02247714184</v>
      </c>
      <c r="G83" s="11" t="n">
        <f aca="false">IF(D83="","",MAX(C83-E83,0))</f>
        <v>846625.602448302</v>
      </c>
    </row>
    <row r="84" customFormat="false" ht="15" hidden="false" customHeight="true" outlineLevel="0" collapsed="false">
      <c r="A84" s="14" t="n">
        <f aca="false">A83+1</f>
        <v>80</v>
      </c>
      <c r="B84" s="55" t="n">
        <f aca="false">IF(D84="","",EDATE(EMI_StartDate,A84))</f>
        <v>48650</v>
      </c>
      <c r="C84" s="15" t="n">
        <f aca="false">IF(D83="","",G83)</f>
        <v>846625.602448302</v>
      </c>
      <c r="D84" s="15" t="n">
        <f aca="false">IF(A84&gt;EMI_NPer,"",EMI_Payment)</f>
        <v>9321.31187833522</v>
      </c>
      <c r="E84" s="15" t="n">
        <f aca="false">IF(D84="","",D84-F84)</f>
        <v>2618.85919228616</v>
      </c>
      <c r="F84" s="15" t="n">
        <f aca="false">IF(D84="","",C84*EMI_MonthlyRate)</f>
        <v>6702.45268604906</v>
      </c>
      <c r="G84" s="15" t="n">
        <f aca="false">IF(D84="","",MAX(C84-E84,0))</f>
        <v>844006.743256016</v>
      </c>
    </row>
    <row r="85" customFormat="false" ht="15" hidden="false" customHeight="true" outlineLevel="0" collapsed="false">
      <c r="A85" s="10" t="n">
        <f aca="false">A84+1</f>
        <v>81</v>
      </c>
      <c r="B85" s="54" t="n">
        <f aca="false">IF(D85="","",EDATE(EMI_StartDate,A85))</f>
        <v>48681</v>
      </c>
      <c r="C85" s="11" t="n">
        <f aca="false">IF(D84="","",G84)</f>
        <v>844006.743256016</v>
      </c>
      <c r="D85" s="11" t="n">
        <f aca="false">IF(A85&gt;EMI_NPer,"",EMI_Payment)</f>
        <v>9321.31187833522</v>
      </c>
      <c r="E85" s="11" t="n">
        <f aca="false">IF(D85="","",D85-F85)</f>
        <v>2639.59182755842</v>
      </c>
      <c r="F85" s="11" t="n">
        <f aca="false">IF(D85="","",C85*EMI_MonthlyRate)</f>
        <v>6681.7200507768</v>
      </c>
      <c r="G85" s="11" t="n">
        <f aca="false">IF(D85="","",MAX(C85-E85,0))</f>
        <v>841367.151428458</v>
      </c>
    </row>
    <row r="86" customFormat="false" ht="15" hidden="false" customHeight="true" outlineLevel="0" collapsed="false">
      <c r="A86" s="14" t="n">
        <f aca="false">A85+1</f>
        <v>82</v>
      </c>
      <c r="B86" s="55" t="n">
        <f aca="false">IF(D86="","",EDATE(EMI_StartDate,A86))</f>
        <v>48711</v>
      </c>
      <c r="C86" s="15" t="n">
        <f aca="false">IF(D85="","",G85)</f>
        <v>841367.151428458</v>
      </c>
      <c r="D86" s="15" t="n">
        <f aca="false">IF(A86&gt;EMI_NPer,"",EMI_Payment)</f>
        <v>9321.31187833522</v>
      </c>
      <c r="E86" s="15" t="n">
        <f aca="false">IF(D86="","",D86-F86)</f>
        <v>2660.48859619326</v>
      </c>
      <c r="F86" s="15" t="n">
        <f aca="false">IF(D86="","",C86*EMI_MonthlyRate)</f>
        <v>6660.82328214196</v>
      </c>
      <c r="G86" s="15" t="n">
        <f aca="false">IF(D86="","",MAX(C86-E86,0))</f>
        <v>838706.662832264</v>
      </c>
    </row>
    <row r="87" customFormat="false" ht="15" hidden="false" customHeight="true" outlineLevel="0" collapsed="false">
      <c r="A87" s="10" t="n">
        <f aca="false">A86+1</f>
        <v>83</v>
      </c>
      <c r="B87" s="54" t="n">
        <f aca="false">IF(D87="","",EDATE(EMI_StartDate,A87))</f>
        <v>48742</v>
      </c>
      <c r="C87" s="11" t="n">
        <f aca="false">IF(D86="","",G86)</f>
        <v>838706.662832264</v>
      </c>
      <c r="D87" s="11" t="n">
        <f aca="false">IF(A87&gt;EMI_NPer,"",EMI_Payment)</f>
        <v>9321.31187833522</v>
      </c>
      <c r="E87" s="11" t="n">
        <f aca="false">IF(D87="","",D87-F87)</f>
        <v>2681.55079757979</v>
      </c>
      <c r="F87" s="11" t="n">
        <f aca="false">IF(D87="","",C87*EMI_MonthlyRate)</f>
        <v>6639.76108075543</v>
      </c>
      <c r="G87" s="11" t="n">
        <f aca="false">IF(D87="","",MAX(C87-E87,0))</f>
        <v>836025.112034685</v>
      </c>
    </row>
    <row r="88" customFormat="false" ht="15" hidden="false" customHeight="true" outlineLevel="0" collapsed="false">
      <c r="A88" s="14" t="n">
        <f aca="false">A87+1</f>
        <v>84</v>
      </c>
      <c r="B88" s="55" t="n">
        <f aca="false">IF(D88="","",EDATE(EMI_StartDate,A88))</f>
        <v>48772</v>
      </c>
      <c r="C88" s="15" t="n">
        <f aca="false">IF(D87="","",G87)</f>
        <v>836025.112034685</v>
      </c>
      <c r="D88" s="15" t="n">
        <f aca="false">IF(A88&gt;EMI_NPer,"",EMI_Payment)</f>
        <v>9321.31187833522</v>
      </c>
      <c r="E88" s="15" t="n">
        <f aca="false">IF(D88="","",D88-F88)</f>
        <v>2702.77974139396</v>
      </c>
      <c r="F88" s="15" t="n">
        <f aca="false">IF(D88="","",C88*EMI_MonthlyRate)</f>
        <v>6618.53213694125</v>
      </c>
      <c r="G88" s="15" t="n">
        <f aca="false">IF(D88="","",MAX(C88-E88,0))</f>
        <v>833322.332293291</v>
      </c>
    </row>
    <row r="89" customFormat="false" ht="15" hidden="false" customHeight="true" outlineLevel="0" collapsed="false">
      <c r="A89" s="10" t="n">
        <f aca="false">A88+1</f>
        <v>85</v>
      </c>
      <c r="B89" s="54" t="n">
        <f aca="false">IF(D89="","",EDATE(EMI_StartDate,A89))</f>
        <v>48803</v>
      </c>
      <c r="C89" s="11" t="n">
        <f aca="false">IF(D88="","",G88)</f>
        <v>833322.332293291</v>
      </c>
      <c r="D89" s="11" t="n">
        <f aca="false">IF(A89&gt;EMI_NPer,"",EMI_Payment)</f>
        <v>9321.31187833522</v>
      </c>
      <c r="E89" s="11" t="n">
        <f aca="false">IF(D89="","",D89-F89)</f>
        <v>2724.17674768</v>
      </c>
      <c r="F89" s="11" t="n">
        <f aca="false">IF(D89="","",C89*EMI_MonthlyRate)</f>
        <v>6597.13513065522</v>
      </c>
      <c r="G89" s="11" t="n">
        <f aca="false">IF(D89="","",MAX(C89-E89,0))</f>
        <v>830598.155545611</v>
      </c>
    </row>
    <row r="90" customFormat="false" ht="15" hidden="false" customHeight="true" outlineLevel="0" collapsed="false">
      <c r="A90" s="14" t="n">
        <f aca="false">A89+1</f>
        <v>86</v>
      </c>
      <c r="B90" s="55" t="n">
        <f aca="false">IF(D90="","",EDATE(EMI_StartDate,A90))</f>
        <v>48834</v>
      </c>
      <c r="C90" s="15" t="n">
        <f aca="false">IF(D89="","",G89)</f>
        <v>830598.155545611</v>
      </c>
      <c r="D90" s="15" t="n">
        <f aca="false">IF(A90&gt;EMI_NPer,"",EMI_Payment)</f>
        <v>9321.31187833522</v>
      </c>
      <c r="E90" s="15" t="n">
        <f aca="false">IF(D90="","",D90-F90)</f>
        <v>2745.74314693247</v>
      </c>
      <c r="F90" s="15" t="n">
        <f aca="false">IF(D90="","",C90*EMI_MonthlyRate)</f>
        <v>6575.56873140275</v>
      </c>
      <c r="G90" s="15" t="n">
        <f aca="false">IF(D90="","",MAX(C90-E90,0))</f>
        <v>827852.412398678</v>
      </c>
    </row>
    <row r="91" customFormat="false" ht="15" hidden="false" customHeight="true" outlineLevel="0" collapsed="false">
      <c r="A91" s="10" t="n">
        <f aca="false">A90+1</f>
        <v>87</v>
      </c>
      <c r="B91" s="54" t="n">
        <f aca="false">IF(D91="","",EDATE(EMI_StartDate,A91))</f>
        <v>48864</v>
      </c>
      <c r="C91" s="11" t="n">
        <f aca="false">IF(D90="","",G90)</f>
        <v>827852.412398678</v>
      </c>
      <c r="D91" s="11" t="n">
        <f aca="false">IF(A91&gt;EMI_NPer,"",EMI_Payment)</f>
        <v>9321.31187833522</v>
      </c>
      <c r="E91" s="11" t="n">
        <f aca="false">IF(D91="","",D91-F91)</f>
        <v>2767.48028017901</v>
      </c>
      <c r="F91" s="11" t="n">
        <f aca="false">IF(D91="","",C91*EMI_MonthlyRate)</f>
        <v>6553.8315981562</v>
      </c>
      <c r="G91" s="11" t="n">
        <f aca="false">IF(D91="","",MAX(C91-E91,0))</f>
        <v>825084.932118499</v>
      </c>
    </row>
    <row r="92" customFormat="false" ht="15" hidden="false" customHeight="true" outlineLevel="0" collapsed="false">
      <c r="A92" s="14" t="n">
        <f aca="false">A91+1</f>
        <v>88</v>
      </c>
      <c r="B92" s="55" t="n">
        <f aca="false">IF(D92="","",EDATE(EMI_StartDate,A92))</f>
        <v>48895</v>
      </c>
      <c r="C92" s="15" t="n">
        <f aca="false">IF(D91="","",G91)</f>
        <v>825084.932118499</v>
      </c>
      <c r="D92" s="15" t="n">
        <f aca="false">IF(A92&gt;EMI_NPer,"",EMI_Payment)</f>
        <v>9321.31187833522</v>
      </c>
      <c r="E92" s="15" t="n">
        <f aca="false">IF(D92="","",D92-F92)</f>
        <v>2789.38949906377</v>
      </c>
      <c r="F92" s="15" t="n">
        <f aca="false">IF(D92="","",C92*EMI_MonthlyRate)</f>
        <v>6531.92237927145</v>
      </c>
      <c r="G92" s="15" t="n">
        <f aca="false">IF(D92="","",MAX(C92-E92,0))</f>
        <v>822295.542619436</v>
      </c>
    </row>
    <row r="93" customFormat="false" ht="15" hidden="false" customHeight="true" outlineLevel="0" collapsed="false">
      <c r="A93" s="10" t="n">
        <f aca="false">A92+1</f>
        <v>89</v>
      </c>
      <c r="B93" s="54" t="n">
        <f aca="false">IF(D93="","",EDATE(EMI_StartDate,A93))</f>
        <v>48925</v>
      </c>
      <c r="C93" s="11" t="n">
        <f aca="false">IF(D92="","",G92)</f>
        <v>822295.542619436</v>
      </c>
      <c r="D93" s="11" t="n">
        <f aca="false">IF(A93&gt;EMI_NPer,"",EMI_Payment)</f>
        <v>9321.31187833522</v>
      </c>
      <c r="E93" s="11" t="n">
        <f aca="false">IF(D93="","",D93-F93)</f>
        <v>2811.47216593135</v>
      </c>
      <c r="F93" s="11" t="n">
        <f aca="false">IF(D93="","",C93*EMI_MonthlyRate)</f>
        <v>6509.83971240387</v>
      </c>
      <c r="G93" s="11" t="n">
        <f aca="false">IF(D93="","",MAX(C93-E93,0))</f>
        <v>819484.070453504</v>
      </c>
    </row>
    <row r="94" customFormat="false" ht="15" hidden="false" customHeight="true" outlineLevel="0" collapsed="false">
      <c r="A94" s="14" t="n">
        <f aca="false">A93+1</f>
        <v>90</v>
      </c>
      <c r="B94" s="55" t="n">
        <f aca="false">IF(D94="","",EDATE(EMI_StartDate,A94))</f>
        <v>48956</v>
      </c>
      <c r="C94" s="15" t="n">
        <f aca="false">IF(D93="","",G93)</f>
        <v>819484.070453504</v>
      </c>
      <c r="D94" s="15" t="n">
        <f aca="false">IF(A94&gt;EMI_NPer,"",EMI_Payment)</f>
        <v>9321.31187833522</v>
      </c>
      <c r="E94" s="15" t="n">
        <f aca="false">IF(D94="","",D94-F94)</f>
        <v>2833.72965391164</v>
      </c>
      <c r="F94" s="15" t="n">
        <f aca="false">IF(D94="","",C94*EMI_MonthlyRate)</f>
        <v>6487.58222442358</v>
      </c>
      <c r="G94" s="15" t="n">
        <f aca="false">IF(D94="","",MAX(C94-E94,0))</f>
        <v>816650.340799592</v>
      </c>
    </row>
    <row r="95" customFormat="false" ht="15" hidden="false" customHeight="true" outlineLevel="0" collapsed="false">
      <c r="A95" s="10" t="n">
        <f aca="false">A94+1</f>
        <v>91</v>
      </c>
      <c r="B95" s="54" t="n">
        <f aca="false">IF(D95="","",EDATE(EMI_StartDate,A95))</f>
        <v>48987</v>
      </c>
      <c r="C95" s="11" t="n">
        <f aca="false">IF(D94="","",G94)</f>
        <v>816650.340799592</v>
      </c>
      <c r="D95" s="11" t="n">
        <f aca="false">IF(A95&gt;EMI_NPer,"",EMI_Payment)</f>
        <v>9321.31187833522</v>
      </c>
      <c r="E95" s="11" t="n">
        <f aca="false">IF(D95="","",D95-F95)</f>
        <v>2856.16334700511</v>
      </c>
      <c r="F95" s="11" t="n">
        <f aca="false">IF(D95="","",C95*EMI_MonthlyRate)</f>
        <v>6465.14853133011</v>
      </c>
      <c r="G95" s="11" t="n">
        <f aca="false">IF(D95="","",MAX(C95-E95,0))</f>
        <v>813794.177452587</v>
      </c>
    </row>
    <row r="96" customFormat="false" ht="15" hidden="false" customHeight="true" outlineLevel="0" collapsed="false">
      <c r="A96" s="14" t="n">
        <f aca="false">A95+1</f>
        <v>92</v>
      </c>
      <c r="B96" s="55" t="n">
        <f aca="false">IF(D96="","",EDATE(EMI_StartDate,A96))</f>
        <v>49015</v>
      </c>
      <c r="C96" s="15" t="n">
        <f aca="false">IF(D95="","",G95)</f>
        <v>813794.177452587</v>
      </c>
      <c r="D96" s="15" t="n">
        <f aca="false">IF(A96&gt;EMI_NPer,"",EMI_Payment)</f>
        <v>9321.31187833522</v>
      </c>
      <c r="E96" s="15" t="n">
        <f aca="false">IF(D96="","",D96-F96)</f>
        <v>2878.7746401689</v>
      </c>
      <c r="F96" s="15" t="n">
        <f aca="false">IF(D96="","",C96*EMI_MonthlyRate)</f>
        <v>6442.53723816632</v>
      </c>
      <c r="G96" s="15" t="n">
        <f aca="false">IF(D96="","",MAX(C96-E96,0))</f>
        <v>810915.402812418</v>
      </c>
    </row>
    <row r="97" customFormat="false" ht="15" hidden="false" customHeight="true" outlineLevel="0" collapsed="false">
      <c r="A97" s="10" t="n">
        <f aca="false">A96+1</f>
        <v>93</v>
      </c>
      <c r="B97" s="54" t="n">
        <f aca="false">IF(D97="","",EDATE(EMI_StartDate,A97))</f>
        <v>49046</v>
      </c>
      <c r="C97" s="11" t="n">
        <f aca="false">IF(D96="","",G96)</f>
        <v>810915.402812418</v>
      </c>
      <c r="D97" s="11" t="n">
        <f aca="false">IF(A97&gt;EMI_NPer,"",EMI_Payment)</f>
        <v>9321.31187833522</v>
      </c>
      <c r="E97" s="11" t="n">
        <f aca="false">IF(D97="","",D97-F97)</f>
        <v>2901.56493940357</v>
      </c>
      <c r="F97" s="11" t="n">
        <f aca="false">IF(D97="","",C97*EMI_MonthlyRate)</f>
        <v>6419.74693893165</v>
      </c>
      <c r="G97" s="11" t="n">
        <f aca="false">IF(D97="","",MAX(C97-E97,0))</f>
        <v>808013.837873015</v>
      </c>
    </row>
    <row r="98" customFormat="false" ht="15" hidden="false" customHeight="true" outlineLevel="0" collapsed="false">
      <c r="A98" s="14" t="n">
        <f aca="false">A97+1</f>
        <v>94</v>
      </c>
      <c r="B98" s="55" t="n">
        <f aca="false">IF(D98="","",EDATE(EMI_StartDate,A98))</f>
        <v>49076</v>
      </c>
      <c r="C98" s="15" t="n">
        <f aca="false">IF(D97="","",G97)</f>
        <v>808013.837873015</v>
      </c>
      <c r="D98" s="15" t="n">
        <f aca="false">IF(A98&gt;EMI_NPer,"",EMI_Payment)</f>
        <v>9321.31187833522</v>
      </c>
      <c r="E98" s="15" t="n">
        <f aca="false">IF(D98="","",D98-F98)</f>
        <v>2924.53566184052</v>
      </c>
      <c r="F98" s="15" t="n">
        <f aca="false">IF(D98="","",C98*EMI_MonthlyRate)</f>
        <v>6396.7762164947</v>
      </c>
      <c r="G98" s="15" t="n">
        <f aca="false">IF(D98="","",MAX(C98-E98,0))</f>
        <v>805089.302211174</v>
      </c>
    </row>
    <row r="99" customFormat="false" ht="15" hidden="false" customHeight="true" outlineLevel="0" collapsed="false">
      <c r="A99" s="10" t="n">
        <f aca="false">A98+1</f>
        <v>95</v>
      </c>
      <c r="B99" s="54" t="n">
        <f aca="false">IF(D99="","",EDATE(EMI_StartDate,A99))</f>
        <v>49107</v>
      </c>
      <c r="C99" s="11" t="n">
        <f aca="false">IF(D98="","",G98)</f>
        <v>805089.302211174</v>
      </c>
      <c r="D99" s="11" t="n">
        <f aca="false">IF(A99&gt;EMI_NPer,"",EMI_Payment)</f>
        <v>9321.31187833522</v>
      </c>
      <c r="E99" s="11" t="n">
        <f aca="false">IF(D99="","",D99-F99)</f>
        <v>2947.68823583009</v>
      </c>
      <c r="F99" s="11" t="n">
        <f aca="false">IF(D99="","",C99*EMI_MonthlyRate)</f>
        <v>6373.62364250513</v>
      </c>
      <c r="G99" s="11" t="n">
        <f aca="false">IF(D99="","",MAX(C99-E99,0))</f>
        <v>802141.613975344</v>
      </c>
    </row>
    <row r="100" customFormat="false" ht="15" hidden="false" customHeight="true" outlineLevel="0" collapsed="false">
      <c r="A100" s="14" t="n">
        <f aca="false">A99+1</f>
        <v>96</v>
      </c>
      <c r="B100" s="55" t="n">
        <f aca="false">IF(D100="","",EDATE(EMI_StartDate,A100))</f>
        <v>49137</v>
      </c>
      <c r="C100" s="15" t="n">
        <f aca="false">IF(D99="","",G99)</f>
        <v>802141.613975344</v>
      </c>
      <c r="D100" s="15" t="n">
        <f aca="false">IF(A100&gt;EMI_NPer,"",EMI_Payment)</f>
        <v>9321.31187833522</v>
      </c>
      <c r="E100" s="15" t="n">
        <f aca="false">IF(D100="","",D100-F100)</f>
        <v>2971.02410103041</v>
      </c>
      <c r="F100" s="15" t="n">
        <f aca="false">IF(D100="","",C100*EMI_MonthlyRate)</f>
        <v>6350.28777730481</v>
      </c>
      <c r="G100" s="15" t="n">
        <f aca="false">IF(D100="","",MAX(C100-E100,0))</f>
        <v>799170.589874314</v>
      </c>
    </row>
    <row r="101" customFormat="false" ht="15" hidden="false" customHeight="true" outlineLevel="0" collapsed="false">
      <c r="A101" s="10" t="n">
        <f aca="false">A100+1</f>
        <v>97</v>
      </c>
      <c r="B101" s="54" t="n">
        <f aca="false">IF(D101="","",EDATE(EMI_StartDate,A101))</f>
        <v>49168</v>
      </c>
      <c r="C101" s="11" t="n">
        <f aca="false">IF(D100="","",G100)</f>
        <v>799170.589874314</v>
      </c>
      <c r="D101" s="11" t="n">
        <f aca="false">IF(A101&gt;EMI_NPer,"",EMI_Payment)</f>
        <v>9321.31187833522</v>
      </c>
      <c r="E101" s="11" t="n">
        <f aca="false">IF(D101="","",D101-F101)</f>
        <v>2994.5447084969</v>
      </c>
      <c r="F101" s="11" t="n">
        <f aca="false">IF(D101="","",C101*EMI_MonthlyRate)</f>
        <v>6326.76716983832</v>
      </c>
      <c r="G101" s="11" t="n">
        <f aca="false">IF(D101="","",MAX(C101-E101,0))</f>
        <v>796176.045165817</v>
      </c>
    </row>
    <row r="102" customFormat="false" ht="15" hidden="false" customHeight="true" outlineLevel="0" collapsed="false">
      <c r="A102" s="14" t="n">
        <f aca="false">A101+1</f>
        <v>98</v>
      </c>
      <c r="B102" s="55" t="n">
        <f aca="false">IF(D102="","",EDATE(EMI_StartDate,A102))</f>
        <v>49199</v>
      </c>
      <c r="C102" s="15" t="n">
        <f aca="false">IF(D101="","",G101)</f>
        <v>796176.045165817</v>
      </c>
      <c r="D102" s="15" t="n">
        <f aca="false">IF(A102&gt;EMI_NPer,"",EMI_Payment)</f>
        <v>9321.31187833522</v>
      </c>
      <c r="E102" s="15" t="n">
        <f aca="false">IF(D102="","",D102-F102)</f>
        <v>3018.2515207725</v>
      </c>
      <c r="F102" s="15" t="n">
        <f aca="false">IF(D102="","",C102*EMI_MonthlyRate)</f>
        <v>6303.06035756272</v>
      </c>
      <c r="G102" s="15" t="n">
        <f aca="false">IF(D102="","",MAX(C102-E102,0))</f>
        <v>793157.793645045</v>
      </c>
    </row>
    <row r="103" customFormat="false" ht="15" hidden="false" customHeight="true" outlineLevel="0" collapsed="false">
      <c r="A103" s="10" t="n">
        <f aca="false">A102+1</f>
        <v>99</v>
      </c>
      <c r="B103" s="54" t="n">
        <f aca="false">IF(D103="","",EDATE(EMI_StartDate,A103))</f>
        <v>49229</v>
      </c>
      <c r="C103" s="11" t="n">
        <f aca="false">IF(D102="","",G102)</f>
        <v>793157.793645045</v>
      </c>
      <c r="D103" s="11" t="n">
        <f aca="false">IF(A103&gt;EMI_NPer,"",EMI_Payment)</f>
        <v>9321.31187833522</v>
      </c>
      <c r="E103" s="11" t="n">
        <f aca="false">IF(D103="","",D103-F103)</f>
        <v>3042.14601197862</v>
      </c>
      <c r="F103" s="11" t="n">
        <f aca="false">IF(D103="","",C103*EMI_MonthlyRate)</f>
        <v>6279.1658663566</v>
      </c>
      <c r="G103" s="11" t="n">
        <f aca="false">IF(D103="","",MAX(C103-E103,0))</f>
        <v>790115.647633066</v>
      </c>
    </row>
    <row r="104" customFormat="false" ht="15" hidden="false" customHeight="true" outlineLevel="0" collapsed="false">
      <c r="A104" s="14" t="n">
        <f aca="false">A103+1</f>
        <v>100</v>
      </c>
      <c r="B104" s="55" t="n">
        <f aca="false">IF(D104="","",EDATE(EMI_StartDate,A104))</f>
        <v>49260</v>
      </c>
      <c r="C104" s="15" t="n">
        <f aca="false">IF(D103="","",G103)</f>
        <v>790115.647633066</v>
      </c>
      <c r="D104" s="15" t="n">
        <f aca="false">IF(A104&gt;EMI_NPer,"",EMI_Payment)</f>
        <v>9321.31187833522</v>
      </c>
      <c r="E104" s="15" t="n">
        <f aca="false">IF(D104="","",D104-F104)</f>
        <v>3066.22966790678</v>
      </c>
      <c r="F104" s="15" t="n">
        <f aca="false">IF(D104="","",C104*EMI_MonthlyRate)</f>
        <v>6255.08221042844</v>
      </c>
      <c r="G104" s="15" t="n">
        <f aca="false">IF(D104="","",MAX(C104-E104,0))</f>
        <v>787049.417965159</v>
      </c>
    </row>
    <row r="105" customFormat="false" ht="15" hidden="false" customHeight="true" outlineLevel="0" collapsed="false">
      <c r="A105" s="10" t="n">
        <f aca="false">A104+1</f>
        <v>101</v>
      </c>
      <c r="B105" s="54" t="n">
        <f aca="false">IF(D105="","",EDATE(EMI_StartDate,A105))</f>
        <v>49290</v>
      </c>
      <c r="C105" s="11" t="n">
        <f aca="false">IF(D104="","",G104)</f>
        <v>787049.417965159</v>
      </c>
      <c r="D105" s="11" t="n">
        <f aca="false">IF(A105&gt;EMI_NPer,"",EMI_Payment)</f>
        <v>9321.31187833522</v>
      </c>
      <c r="E105" s="11" t="n">
        <f aca="false">IF(D105="","",D105-F105)</f>
        <v>3090.50398611104</v>
      </c>
      <c r="F105" s="11" t="n">
        <f aca="false">IF(D105="","",C105*EMI_MonthlyRate)</f>
        <v>6230.80789222418</v>
      </c>
      <c r="G105" s="11" t="n">
        <f aca="false">IF(D105="","",MAX(C105-E105,0))</f>
        <v>783958.913979048</v>
      </c>
    </row>
    <row r="106" customFormat="false" ht="15" hidden="false" customHeight="true" outlineLevel="0" collapsed="false">
      <c r="A106" s="14" t="n">
        <f aca="false">A105+1</f>
        <v>102</v>
      </c>
      <c r="B106" s="55" t="n">
        <f aca="false">IF(D106="","",EDATE(EMI_StartDate,A106))</f>
        <v>49321</v>
      </c>
      <c r="C106" s="15" t="n">
        <f aca="false">IF(D105="","",G105)</f>
        <v>783958.913979048</v>
      </c>
      <c r="D106" s="15" t="n">
        <f aca="false">IF(A106&gt;EMI_NPer,"",EMI_Payment)</f>
        <v>9321.31187833522</v>
      </c>
      <c r="E106" s="15" t="n">
        <f aca="false">IF(D106="","",D106-F106)</f>
        <v>3114.97047600109</v>
      </c>
      <c r="F106" s="15" t="n">
        <f aca="false">IF(D106="","",C106*EMI_MonthlyRate)</f>
        <v>6206.34140233413</v>
      </c>
      <c r="G106" s="15" t="n">
        <f aca="false">IF(D106="","",MAX(C106-E106,0))</f>
        <v>780843.943503047</v>
      </c>
    </row>
    <row r="107" customFormat="false" ht="15" hidden="false" customHeight="true" outlineLevel="0" collapsed="false">
      <c r="A107" s="10" t="n">
        <f aca="false">A106+1</f>
        <v>103</v>
      </c>
      <c r="B107" s="54" t="n">
        <f aca="false">IF(D107="","",EDATE(EMI_StartDate,A107))</f>
        <v>49352</v>
      </c>
      <c r="C107" s="11" t="n">
        <f aca="false">IF(D106="","",G106)</f>
        <v>780843.943503047</v>
      </c>
      <c r="D107" s="11" t="n">
        <f aca="false">IF(A107&gt;EMI_NPer,"",EMI_Payment)</f>
        <v>9321.31187833522</v>
      </c>
      <c r="E107" s="11" t="n">
        <f aca="false">IF(D107="","",D107-F107)</f>
        <v>3139.63065893609</v>
      </c>
      <c r="F107" s="11" t="n">
        <f aca="false">IF(D107="","",C107*EMI_MonthlyRate)</f>
        <v>6181.68121939912</v>
      </c>
      <c r="G107" s="11" t="n">
        <f aca="false">IF(D107="","",MAX(C107-E107,0))</f>
        <v>777704.312844111</v>
      </c>
    </row>
    <row r="108" customFormat="false" ht="15" hidden="false" customHeight="true" outlineLevel="0" collapsed="false">
      <c r="A108" s="14" t="n">
        <f aca="false">A107+1</f>
        <v>104</v>
      </c>
      <c r="B108" s="55" t="n">
        <f aca="false">IF(D108="","",EDATE(EMI_StartDate,A108))</f>
        <v>49380</v>
      </c>
      <c r="C108" s="15" t="n">
        <f aca="false">IF(D107="","",G107)</f>
        <v>777704.312844111</v>
      </c>
      <c r="D108" s="15" t="n">
        <f aca="false">IF(A108&gt;EMI_NPer,"",EMI_Payment)</f>
        <v>9321.31187833522</v>
      </c>
      <c r="E108" s="15" t="n">
        <f aca="false">IF(D108="","",D108-F108)</f>
        <v>3164.48606831934</v>
      </c>
      <c r="F108" s="15" t="n">
        <f aca="false">IF(D108="","",C108*EMI_MonthlyRate)</f>
        <v>6156.82581001588</v>
      </c>
      <c r="G108" s="15" t="n">
        <f aca="false">IF(D108="","",MAX(C108-E108,0))</f>
        <v>774539.826775792</v>
      </c>
    </row>
    <row r="109" customFormat="false" ht="15" hidden="false" customHeight="true" outlineLevel="0" collapsed="false">
      <c r="A109" s="10" t="n">
        <f aca="false">A108+1</f>
        <v>105</v>
      </c>
      <c r="B109" s="54" t="n">
        <f aca="false">IF(D109="","",EDATE(EMI_StartDate,A109))</f>
        <v>49411</v>
      </c>
      <c r="C109" s="11" t="n">
        <f aca="false">IF(D108="","",G108)</f>
        <v>774539.826775792</v>
      </c>
      <c r="D109" s="11" t="n">
        <f aca="false">IF(A109&gt;EMI_NPer,"",EMI_Payment)</f>
        <v>9321.31187833522</v>
      </c>
      <c r="E109" s="11" t="n">
        <f aca="false">IF(D109="","",D109-F109)</f>
        <v>3189.53824969353</v>
      </c>
      <c r="F109" s="11" t="n">
        <f aca="false">IF(D109="","",C109*EMI_MonthlyRate)</f>
        <v>6131.77362864169</v>
      </c>
      <c r="G109" s="11" t="n">
        <f aca="false">IF(D109="","",MAX(C109-E109,0))</f>
        <v>771350.288526098</v>
      </c>
    </row>
    <row r="110" customFormat="false" ht="15" hidden="false" customHeight="true" outlineLevel="0" collapsed="false">
      <c r="A110" s="14" t="n">
        <f aca="false">A109+1</f>
        <v>106</v>
      </c>
      <c r="B110" s="55" t="n">
        <f aca="false">IF(D110="","",EDATE(EMI_StartDate,A110))</f>
        <v>49441</v>
      </c>
      <c r="C110" s="15" t="n">
        <f aca="false">IF(D109="","",G109)</f>
        <v>771350.288526098</v>
      </c>
      <c r="D110" s="15" t="n">
        <f aca="false">IF(A110&gt;EMI_NPer,"",EMI_Payment)</f>
        <v>9321.31187833522</v>
      </c>
      <c r="E110" s="15" t="n">
        <f aca="false">IF(D110="","",D110-F110)</f>
        <v>3214.78876083694</v>
      </c>
      <c r="F110" s="15" t="n">
        <f aca="false">IF(D110="","",C110*EMI_MonthlyRate)</f>
        <v>6106.52311749828</v>
      </c>
      <c r="G110" s="15" t="n">
        <f aca="false">IF(D110="","",MAX(C110-E110,0))</f>
        <v>768135.499765261</v>
      </c>
    </row>
    <row r="111" customFormat="false" ht="15" hidden="false" customHeight="true" outlineLevel="0" collapsed="false">
      <c r="A111" s="10" t="n">
        <f aca="false">A110+1</f>
        <v>107</v>
      </c>
      <c r="B111" s="54" t="n">
        <f aca="false">IF(D111="","",EDATE(EMI_StartDate,A111))</f>
        <v>49472</v>
      </c>
      <c r="C111" s="11" t="n">
        <f aca="false">IF(D110="","",G110)</f>
        <v>768135.499765261</v>
      </c>
      <c r="D111" s="11" t="n">
        <f aca="false">IF(A111&gt;EMI_NPer,"",EMI_Payment)</f>
        <v>9321.31187833522</v>
      </c>
      <c r="E111" s="11" t="n">
        <f aca="false">IF(D111="","",D111-F111)</f>
        <v>3240.23917186023</v>
      </c>
      <c r="F111" s="11" t="n">
        <f aca="false">IF(D111="","",C111*EMI_MonthlyRate)</f>
        <v>6081.07270647499</v>
      </c>
      <c r="G111" s="11" t="n">
        <f aca="false">IF(D111="","",MAX(C111-E111,0))</f>
        <v>764895.260593401</v>
      </c>
    </row>
    <row r="112" customFormat="false" ht="15" hidden="false" customHeight="true" outlineLevel="0" collapsed="false">
      <c r="A112" s="14" t="n">
        <f aca="false">A111+1</f>
        <v>108</v>
      </c>
      <c r="B112" s="55" t="n">
        <f aca="false">IF(D112="","",EDATE(EMI_StartDate,A112))</f>
        <v>49502</v>
      </c>
      <c r="C112" s="15" t="n">
        <f aca="false">IF(D111="","",G111)</f>
        <v>764895.260593401</v>
      </c>
      <c r="D112" s="15" t="n">
        <f aca="false">IF(A112&gt;EMI_NPer,"",EMI_Payment)</f>
        <v>9321.31187833522</v>
      </c>
      <c r="E112" s="15" t="n">
        <f aca="false">IF(D112="","",D112-F112)</f>
        <v>3265.89106530413</v>
      </c>
      <c r="F112" s="15" t="n">
        <f aca="false">IF(D112="","",C112*EMI_MonthlyRate)</f>
        <v>6055.42081303109</v>
      </c>
      <c r="G112" s="15" t="n">
        <f aca="false">IF(D112="","",MAX(C112-E112,0))</f>
        <v>761629.369528097</v>
      </c>
    </row>
    <row r="113" customFormat="false" ht="15" hidden="false" customHeight="true" outlineLevel="0" collapsed="false">
      <c r="A113" s="10" t="n">
        <f aca="false">A112+1</f>
        <v>109</v>
      </c>
      <c r="B113" s="54" t="n">
        <f aca="false">IF(D113="","",EDATE(EMI_StartDate,A113))</f>
        <v>49533</v>
      </c>
      <c r="C113" s="11" t="n">
        <f aca="false">IF(D112="","",G112)</f>
        <v>761629.369528097</v>
      </c>
      <c r="D113" s="11" t="n">
        <f aca="false">IF(A113&gt;EMI_NPer,"",EMI_Payment)</f>
        <v>9321.31187833522</v>
      </c>
      <c r="E113" s="11" t="n">
        <f aca="false">IF(D113="","",D113-F113)</f>
        <v>3291.74603623779</v>
      </c>
      <c r="F113" s="11" t="n">
        <f aca="false">IF(D113="","",C113*EMI_MonthlyRate)</f>
        <v>6029.56584209743</v>
      </c>
      <c r="G113" s="11" t="n">
        <f aca="false">IF(D113="","",MAX(C113-E113,0))</f>
        <v>758337.623491859</v>
      </c>
    </row>
    <row r="114" customFormat="false" ht="15" hidden="false" customHeight="true" outlineLevel="0" collapsed="false">
      <c r="A114" s="14" t="n">
        <f aca="false">A113+1</f>
        <v>110</v>
      </c>
      <c r="B114" s="55" t="n">
        <f aca="false">IF(D114="","",EDATE(EMI_StartDate,A114))</f>
        <v>49564</v>
      </c>
      <c r="C114" s="15" t="n">
        <f aca="false">IF(D113="","",G113)</f>
        <v>758337.623491859</v>
      </c>
      <c r="D114" s="15" t="n">
        <f aca="false">IF(A114&gt;EMI_NPer,"",EMI_Payment)</f>
        <v>9321.31187833522</v>
      </c>
      <c r="E114" s="15" t="n">
        <f aca="false">IF(D114="","",D114-F114)</f>
        <v>3317.805692358</v>
      </c>
      <c r="F114" s="15" t="n">
        <f aca="false">IF(D114="","",C114*EMI_MonthlyRate)</f>
        <v>6003.50618597722</v>
      </c>
      <c r="G114" s="15" t="n">
        <f aca="false">IF(D114="","",MAX(C114-E114,0))</f>
        <v>755019.817799501</v>
      </c>
    </row>
    <row r="115" customFormat="false" ht="15" hidden="false" customHeight="true" outlineLevel="0" collapsed="false">
      <c r="A115" s="10" t="n">
        <f aca="false">A114+1</f>
        <v>111</v>
      </c>
      <c r="B115" s="54" t="n">
        <f aca="false">IF(D115="","",EDATE(EMI_StartDate,A115))</f>
        <v>49594</v>
      </c>
      <c r="C115" s="11" t="n">
        <f aca="false">IF(D114="","",G114)</f>
        <v>755019.817799501</v>
      </c>
      <c r="D115" s="11" t="n">
        <f aca="false">IF(A115&gt;EMI_NPer,"",EMI_Payment)</f>
        <v>9321.31187833522</v>
      </c>
      <c r="E115" s="11" t="n">
        <f aca="false">IF(D115="","",D115-F115)</f>
        <v>3344.07165408917</v>
      </c>
      <c r="F115" s="11" t="n">
        <f aca="false">IF(D115="","",C115*EMI_MonthlyRate)</f>
        <v>5977.24022424605</v>
      </c>
      <c r="G115" s="11" t="n">
        <f aca="false">IF(D115="","",MAX(C115-E115,0))</f>
        <v>751675.746145412</v>
      </c>
    </row>
    <row r="116" customFormat="false" ht="15" hidden="false" customHeight="true" outlineLevel="0" collapsed="false">
      <c r="A116" s="14" t="n">
        <f aca="false">A115+1</f>
        <v>112</v>
      </c>
      <c r="B116" s="55" t="n">
        <f aca="false">IF(D116="","",EDATE(EMI_StartDate,A116))</f>
        <v>49625</v>
      </c>
      <c r="C116" s="15" t="n">
        <f aca="false">IF(D115="","",G115)</f>
        <v>751675.746145412</v>
      </c>
      <c r="D116" s="15" t="n">
        <f aca="false">IF(A116&gt;EMI_NPer,"",EMI_Payment)</f>
        <v>9321.31187833522</v>
      </c>
      <c r="E116" s="15" t="n">
        <f aca="false">IF(D116="","",D116-F116)</f>
        <v>3370.54555468404</v>
      </c>
      <c r="F116" s="15" t="n">
        <f aca="false">IF(D116="","",C116*EMI_MonthlyRate)</f>
        <v>5950.76632365118</v>
      </c>
      <c r="G116" s="15" t="n">
        <f aca="false">IF(D116="","",MAX(C116-E116,0))</f>
        <v>748305.200590728</v>
      </c>
    </row>
    <row r="117" customFormat="false" ht="15" hidden="false" customHeight="true" outlineLevel="0" collapsed="false">
      <c r="A117" s="10" t="n">
        <f aca="false">A116+1</f>
        <v>113</v>
      </c>
      <c r="B117" s="54" t="n">
        <f aca="false">IF(D117="","",EDATE(EMI_StartDate,A117))</f>
        <v>49655</v>
      </c>
      <c r="C117" s="11" t="n">
        <f aca="false">IF(D116="","",G116)</f>
        <v>748305.200590728</v>
      </c>
      <c r="D117" s="11" t="n">
        <f aca="false">IF(A117&gt;EMI_NPer,"",EMI_Payment)</f>
        <v>9321.31187833522</v>
      </c>
      <c r="E117" s="11" t="n">
        <f aca="false">IF(D117="","",D117-F117)</f>
        <v>3397.22904032529</v>
      </c>
      <c r="F117" s="11" t="n">
        <f aca="false">IF(D117="","",C117*EMI_MonthlyRate)</f>
        <v>5924.08283800993</v>
      </c>
      <c r="G117" s="11" t="n">
        <f aca="false">IF(D117="","",MAX(C117-E117,0))</f>
        <v>744907.971550403</v>
      </c>
    </row>
    <row r="118" customFormat="false" ht="15" hidden="false" customHeight="true" outlineLevel="0" collapsed="false">
      <c r="A118" s="14" t="n">
        <f aca="false">A117+1</f>
        <v>114</v>
      </c>
      <c r="B118" s="55" t="n">
        <f aca="false">IF(D118="","",EDATE(EMI_StartDate,A118))</f>
        <v>49686</v>
      </c>
      <c r="C118" s="15" t="n">
        <f aca="false">IF(D117="","",G117)</f>
        <v>744907.971550403</v>
      </c>
      <c r="D118" s="15" t="n">
        <f aca="false">IF(A118&gt;EMI_NPer,"",EMI_Payment)</f>
        <v>9321.31187833522</v>
      </c>
      <c r="E118" s="15" t="n">
        <f aca="false">IF(D118="","",D118-F118)</f>
        <v>3424.12377022787</v>
      </c>
      <c r="F118" s="15" t="n">
        <f aca="false">IF(D118="","",C118*EMI_MonthlyRate)</f>
        <v>5897.18810810735</v>
      </c>
      <c r="G118" s="15" t="n">
        <f aca="false">IF(D118="","",MAX(C118-E118,0))</f>
        <v>741483.847780175</v>
      </c>
    </row>
    <row r="119" customFormat="false" ht="15" hidden="false" customHeight="true" outlineLevel="0" collapsed="false">
      <c r="A119" s="10" t="n">
        <f aca="false">A118+1</f>
        <v>115</v>
      </c>
      <c r="B119" s="54" t="n">
        <f aca="false">IF(D119="","",EDATE(EMI_StartDate,A119))</f>
        <v>49717</v>
      </c>
      <c r="C119" s="11" t="n">
        <f aca="false">IF(D118="","",G118)</f>
        <v>741483.847780175</v>
      </c>
      <c r="D119" s="11" t="n">
        <f aca="false">IF(A119&gt;EMI_NPer,"",EMI_Payment)</f>
        <v>9321.31187833522</v>
      </c>
      <c r="E119" s="11" t="n">
        <f aca="false">IF(D119="","",D119-F119)</f>
        <v>3451.23141674217</v>
      </c>
      <c r="F119" s="11" t="n">
        <f aca="false">IF(D119="","",C119*EMI_MonthlyRate)</f>
        <v>5870.08046159305</v>
      </c>
      <c r="G119" s="11" t="n">
        <f aca="false">IF(D119="","",MAX(C119-E119,0))</f>
        <v>738032.616363432</v>
      </c>
    </row>
    <row r="120" customFormat="false" ht="15" hidden="false" customHeight="true" outlineLevel="0" collapsed="false">
      <c r="A120" s="14" t="n">
        <f aca="false">A119+1</f>
        <v>116</v>
      </c>
      <c r="B120" s="55" t="n">
        <f aca="false">IF(D120="","",EDATE(EMI_StartDate,A120))</f>
        <v>49746</v>
      </c>
      <c r="C120" s="15" t="n">
        <f aca="false">IF(D119="","",G119)</f>
        <v>738032.616363432</v>
      </c>
      <c r="D120" s="15" t="n">
        <f aca="false">IF(A120&gt;EMI_NPer,"",EMI_Payment)</f>
        <v>9321.31187833522</v>
      </c>
      <c r="E120" s="15" t="n">
        <f aca="false">IF(D120="","",D120-F120)</f>
        <v>3478.55366545804</v>
      </c>
      <c r="F120" s="15" t="n">
        <f aca="false">IF(D120="","",C120*EMI_MonthlyRate)</f>
        <v>5842.75821287717</v>
      </c>
      <c r="G120" s="15" t="n">
        <f aca="false">IF(D120="","",MAX(C120-E120,0))</f>
        <v>734554.062697974</v>
      </c>
    </row>
    <row r="121" customFormat="false" ht="15" hidden="false" customHeight="true" outlineLevel="0" collapsed="false">
      <c r="A121" s="10" t="n">
        <f aca="false">A120+1</f>
        <v>117</v>
      </c>
      <c r="B121" s="54" t="n">
        <f aca="false">IF(D121="","",EDATE(EMI_StartDate,A121))</f>
        <v>49777</v>
      </c>
      <c r="C121" s="11" t="n">
        <f aca="false">IF(D120="","",G120)</f>
        <v>734554.062697974</v>
      </c>
      <c r="D121" s="11" t="n">
        <f aca="false">IF(A121&gt;EMI_NPer,"",EMI_Payment)</f>
        <v>9321.31187833522</v>
      </c>
      <c r="E121" s="11" t="n">
        <f aca="false">IF(D121="","",D121-F121)</f>
        <v>3506.09221530959</v>
      </c>
      <c r="F121" s="11" t="n">
        <f aca="false">IF(D121="","",C121*EMI_MonthlyRate)</f>
        <v>5815.21966302563</v>
      </c>
      <c r="G121" s="11" t="n">
        <f aca="false">IF(D121="","",MAX(C121-E121,0))</f>
        <v>731047.970482665</v>
      </c>
    </row>
    <row r="122" customFormat="false" ht="15" hidden="false" customHeight="true" outlineLevel="0" collapsed="false">
      <c r="A122" s="14" t="n">
        <f aca="false">A121+1</f>
        <v>118</v>
      </c>
      <c r="B122" s="55" t="n">
        <f aca="false">IF(D122="","",EDATE(EMI_StartDate,A122))</f>
        <v>49807</v>
      </c>
      <c r="C122" s="15" t="n">
        <f aca="false">IF(D121="","",G121)</f>
        <v>731047.970482665</v>
      </c>
      <c r="D122" s="15" t="n">
        <f aca="false">IF(A122&gt;EMI_NPer,"",EMI_Payment)</f>
        <v>9321.31187833522</v>
      </c>
      <c r="E122" s="15" t="n">
        <f aca="false">IF(D122="","",D122-F122)</f>
        <v>3533.84877868079</v>
      </c>
      <c r="F122" s="15" t="n">
        <f aca="false">IF(D122="","",C122*EMI_MonthlyRate)</f>
        <v>5787.46309965443</v>
      </c>
      <c r="G122" s="15" t="n">
        <f aca="false">IF(D122="","",MAX(C122-E122,0))</f>
        <v>727514.121703984</v>
      </c>
    </row>
    <row r="123" customFormat="false" ht="15" hidden="false" customHeight="true" outlineLevel="0" collapsed="false">
      <c r="A123" s="10" t="n">
        <f aca="false">A122+1</f>
        <v>119</v>
      </c>
      <c r="B123" s="54" t="n">
        <f aca="false">IF(D123="","",EDATE(EMI_StartDate,A123))</f>
        <v>49838</v>
      </c>
      <c r="C123" s="11" t="n">
        <f aca="false">IF(D122="","",G122)</f>
        <v>727514.121703984</v>
      </c>
      <c r="D123" s="11" t="n">
        <f aca="false">IF(A123&gt;EMI_NPer,"",EMI_Payment)</f>
        <v>9321.31187833522</v>
      </c>
      <c r="E123" s="11" t="n">
        <f aca="false">IF(D123="","",D123-F123)</f>
        <v>3561.82508151201</v>
      </c>
      <c r="F123" s="11" t="n">
        <f aca="false">IF(D123="","",C123*EMI_MonthlyRate)</f>
        <v>5759.48679682321</v>
      </c>
      <c r="G123" s="11" t="n">
        <f aca="false">IF(D123="","",MAX(C123-E123,0))</f>
        <v>723952.296622472</v>
      </c>
    </row>
    <row r="124" customFormat="false" ht="15" hidden="false" customHeight="true" outlineLevel="0" collapsed="false">
      <c r="A124" s="14" t="n">
        <f aca="false">A123+1</f>
        <v>120</v>
      </c>
      <c r="B124" s="55" t="n">
        <f aca="false">IF(D124="","",EDATE(EMI_StartDate,A124))</f>
        <v>49868</v>
      </c>
      <c r="C124" s="15" t="n">
        <f aca="false">IF(D123="","",G123)</f>
        <v>723952.296622472</v>
      </c>
      <c r="D124" s="15" t="n">
        <f aca="false">IF(A124&gt;EMI_NPer,"",EMI_Payment)</f>
        <v>9321.31187833522</v>
      </c>
      <c r="E124" s="15" t="n">
        <f aca="false">IF(D124="","",D124-F124)</f>
        <v>3590.02286340731</v>
      </c>
      <c r="F124" s="15" t="n">
        <f aca="false">IF(D124="","",C124*EMI_MonthlyRate)</f>
        <v>5731.2890149279</v>
      </c>
      <c r="G124" s="15" t="n">
        <f aca="false">IF(D124="","",MAX(C124-E124,0))</f>
        <v>720362.273759065</v>
      </c>
    </row>
    <row r="125" customFormat="false" ht="15" hidden="false" customHeight="true" outlineLevel="0" collapsed="false">
      <c r="A125" s="10" t="n">
        <f aca="false">A124+1</f>
        <v>121</v>
      </c>
      <c r="B125" s="54" t="n">
        <f aca="false">IF(D125="","",EDATE(EMI_StartDate,A125))</f>
        <v>49899</v>
      </c>
      <c r="C125" s="11" t="n">
        <f aca="false">IF(D124="","",G124)</f>
        <v>720362.273759065</v>
      </c>
      <c r="D125" s="11" t="n">
        <f aca="false">IF(A125&gt;EMI_NPer,"",EMI_Payment)</f>
        <v>9321.31187833522</v>
      </c>
      <c r="E125" s="11" t="n">
        <f aca="false">IF(D125="","",D125-F125)</f>
        <v>3618.44387774262</v>
      </c>
      <c r="F125" s="11" t="n">
        <f aca="false">IF(D125="","",C125*EMI_MonthlyRate)</f>
        <v>5702.8680005926</v>
      </c>
      <c r="G125" s="11" t="n">
        <f aca="false">IF(D125="","",MAX(C125-E125,0))</f>
        <v>716743.829881322</v>
      </c>
    </row>
    <row r="126" customFormat="false" ht="15" hidden="false" customHeight="true" outlineLevel="0" collapsed="false">
      <c r="A126" s="14" t="n">
        <f aca="false">A125+1</f>
        <v>122</v>
      </c>
      <c r="B126" s="55" t="n">
        <f aca="false">IF(D126="","",EDATE(EMI_StartDate,A126))</f>
        <v>49930</v>
      </c>
      <c r="C126" s="15" t="n">
        <f aca="false">IF(D125="","",G125)</f>
        <v>716743.829881322</v>
      </c>
      <c r="D126" s="15" t="n">
        <f aca="false">IF(A126&gt;EMI_NPer,"",EMI_Payment)</f>
        <v>9321.31187833522</v>
      </c>
      <c r="E126" s="15" t="n">
        <f aca="false">IF(D126="","",D126-F126)</f>
        <v>3647.08989177475</v>
      </c>
      <c r="F126" s="15" t="n">
        <f aca="false">IF(D126="","",C126*EMI_MonthlyRate)</f>
        <v>5674.22198656047</v>
      </c>
      <c r="G126" s="15" t="n">
        <f aca="false">IF(D126="","",MAX(C126-E126,0))</f>
        <v>713096.739989547</v>
      </c>
    </row>
    <row r="127" customFormat="false" ht="15" hidden="false" customHeight="true" outlineLevel="0" collapsed="false">
      <c r="A127" s="10" t="n">
        <f aca="false">A126+1</f>
        <v>123</v>
      </c>
      <c r="B127" s="54" t="n">
        <f aca="false">IF(D127="","",EDATE(EMI_StartDate,A127))</f>
        <v>49960</v>
      </c>
      <c r="C127" s="11" t="n">
        <f aca="false">IF(D126="","",G126)</f>
        <v>713096.739989547</v>
      </c>
      <c r="D127" s="11" t="n">
        <f aca="false">IF(A127&gt;EMI_NPer,"",EMI_Payment)</f>
        <v>9321.31187833522</v>
      </c>
      <c r="E127" s="11" t="n">
        <f aca="false">IF(D127="","",D127-F127)</f>
        <v>3675.9626867513</v>
      </c>
      <c r="F127" s="11" t="n">
        <f aca="false">IF(D127="","",C127*EMI_MonthlyRate)</f>
        <v>5645.34919158392</v>
      </c>
      <c r="G127" s="11" t="n">
        <f aca="false">IF(D127="","",MAX(C127-E127,0))</f>
        <v>709420.777302796</v>
      </c>
    </row>
    <row r="128" customFormat="false" ht="15" hidden="false" customHeight="true" outlineLevel="0" collapsed="false">
      <c r="A128" s="14" t="n">
        <f aca="false">A127+1</f>
        <v>124</v>
      </c>
      <c r="B128" s="55" t="n">
        <f aca="false">IF(D128="","",EDATE(EMI_StartDate,A128))</f>
        <v>49991</v>
      </c>
      <c r="C128" s="15" t="n">
        <f aca="false">IF(D127="","",G127)</f>
        <v>709420.777302796</v>
      </c>
      <c r="D128" s="15" t="n">
        <f aca="false">IF(A128&gt;EMI_NPer,"",EMI_Payment)</f>
        <v>9321.31187833522</v>
      </c>
      <c r="E128" s="15" t="n">
        <f aca="false">IF(D128="","",D128-F128)</f>
        <v>3705.06405802142</v>
      </c>
      <c r="F128" s="15" t="n">
        <f aca="false">IF(D128="","",C128*EMI_MonthlyRate)</f>
        <v>5616.2478203138</v>
      </c>
      <c r="G128" s="15" t="n">
        <f aca="false">IF(D128="","",MAX(C128-E128,0))</f>
        <v>705715.713244775</v>
      </c>
    </row>
    <row r="129" customFormat="false" ht="15" hidden="false" customHeight="true" outlineLevel="0" collapsed="false">
      <c r="A129" s="10" t="n">
        <f aca="false">A128+1</f>
        <v>125</v>
      </c>
      <c r="B129" s="54" t="n">
        <f aca="false">IF(D129="","",EDATE(EMI_StartDate,A129))</f>
        <v>50021</v>
      </c>
      <c r="C129" s="11" t="n">
        <f aca="false">IF(D128="","",G128)</f>
        <v>705715.713244775</v>
      </c>
      <c r="D129" s="11" t="n">
        <f aca="false">IF(A129&gt;EMI_NPer,"",EMI_Payment)</f>
        <v>9321.31187833522</v>
      </c>
      <c r="E129" s="11" t="n">
        <f aca="false">IF(D129="","",D129-F129)</f>
        <v>3734.39581514742</v>
      </c>
      <c r="F129" s="11" t="n">
        <f aca="false">IF(D129="","",C129*EMI_MonthlyRate)</f>
        <v>5586.9160631878</v>
      </c>
      <c r="G129" s="11" t="n">
        <f aca="false">IF(D129="","",MAX(C129-E129,0))</f>
        <v>701981.317429627</v>
      </c>
    </row>
    <row r="130" customFormat="false" ht="15" hidden="false" customHeight="true" outlineLevel="0" collapsed="false">
      <c r="A130" s="14" t="n">
        <f aca="false">A129+1</f>
        <v>126</v>
      </c>
      <c r="B130" s="55" t="n">
        <f aca="false">IF(D130="","",EDATE(EMI_StartDate,A130))</f>
        <v>50052</v>
      </c>
      <c r="C130" s="15" t="n">
        <f aca="false">IF(D129="","",G129)</f>
        <v>701981.317429627</v>
      </c>
      <c r="D130" s="15" t="n">
        <f aca="false">IF(A130&gt;EMI_NPer,"",EMI_Payment)</f>
        <v>9321.31187833522</v>
      </c>
      <c r="E130" s="15" t="n">
        <f aca="false">IF(D130="","",D130-F130)</f>
        <v>3763.95978201734</v>
      </c>
      <c r="F130" s="15" t="n">
        <f aca="false">IF(D130="","",C130*EMI_MonthlyRate)</f>
        <v>5557.35209631788</v>
      </c>
      <c r="G130" s="15" t="n">
        <f aca="false">IF(D130="","",MAX(C130-E130,0))</f>
        <v>698217.35764761</v>
      </c>
    </row>
    <row r="131" customFormat="false" ht="15" hidden="false" customHeight="true" outlineLevel="0" collapsed="false">
      <c r="A131" s="10" t="n">
        <f aca="false">A130+1</f>
        <v>127</v>
      </c>
      <c r="B131" s="54" t="n">
        <f aca="false">IF(D131="","",EDATE(EMI_StartDate,A131))</f>
        <v>50083</v>
      </c>
      <c r="C131" s="11" t="n">
        <f aca="false">IF(D130="","",G130)</f>
        <v>698217.35764761</v>
      </c>
      <c r="D131" s="11" t="n">
        <f aca="false">IF(A131&gt;EMI_NPer,"",EMI_Payment)</f>
        <v>9321.31187833522</v>
      </c>
      <c r="E131" s="11" t="n">
        <f aca="false">IF(D131="","",D131-F131)</f>
        <v>3793.75779695831</v>
      </c>
      <c r="F131" s="11" t="n">
        <f aca="false">IF(D131="","",C131*EMI_MonthlyRate)</f>
        <v>5527.55408137691</v>
      </c>
      <c r="G131" s="11" t="n">
        <f aca="false">IF(D131="","",MAX(C131-E131,0))</f>
        <v>694423.599850652</v>
      </c>
    </row>
    <row r="132" customFormat="false" ht="15" hidden="false" customHeight="true" outlineLevel="0" collapsed="false">
      <c r="A132" s="14" t="n">
        <f aca="false">A131+1</f>
        <v>128</v>
      </c>
      <c r="B132" s="55" t="n">
        <f aca="false">IF(D132="","",EDATE(EMI_StartDate,A132))</f>
        <v>50111</v>
      </c>
      <c r="C132" s="15" t="n">
        <f aca="false">IF(D131="","",G131)</f>
        <v>694423.599850652</v>
      </c>
      <c r="D132" s="15" t="n">
        <f aca="false">IF(A132&gt;EMI_NPer,"",EMI_Payment)</f>
        <v>9321.31187833522</v>
      </c>
      <c r="E132" s="15" t="n">
        <f aca="false">IF(D132="","",D132-F132)</f>
        <v>3823.79171285089</v>
      </c>
      <c r="F132" s="15" t="n">
        <f aca="false">IF(D132="","",C132*EMI_MonthlyRate)</f>
        <v>5497.52016548433</v>
      </c>
      <c r="G132" s="15" t="n">
        <f aca="false">IF(D132="","",MAX(C132-E132,0))</f>
        <v>690599.808137801</v>
      </c>
    </row>
    <row r="133" customFormat="false" ht="15" hidden="false" customHeight="true" outlineLevel="0" collapsed="false">
      <c r="A133" s="10" t="n">
        <f aca="false">A132+1</f>
        <v>129</v>
      </c>
      <c r="B133" s="54" t="n">
        <f aca="false">IF(D133="","",EDATE(EMI_StartDate,A133))</f>
        <v>50142</v>
      </c>
      <c r="C133" s="11" t="n">
        <f aca="false">IF(D132="","",G132)</f>
        <v>690599.808137801</v>
      </c>
      <c r="D133" s="11" t="n">
        <f aca="false">IF(A133&gt;EMI_NPer,"",EMI_Payment)</f>
        <v>9321.31187833522</v>
      </c>
      <c r="E133" s="11" t="n">
        <f aca="false">IF(D133="","",D133-F133)</f>
        <v>3854.06339724429</v>
      </c>
      <c r="F133" s="11" t="n">
        <f aca="false">IF(D133="","",C133*EMI_MonthlyRate)</f>
        <v>5467.24848109092</v>
      </c>
      <c r="G133" s="11" t="n">
        <f aca="false">IF(D133="","",MAX(C133-E133,0))</f>
        <v>686745.744740557</v>
      </c>
    </row>
    <row r="134" customFormat="false" ht="15" hidden="false" customHeight="true" outlineLevel="0" collapsed="false">
      <c r="A134" s="14" t="n">
        <f aca="false">A133+1</f>
        <v>130</v>
      </c>
      <c r="B134" s="55" t="n">
        <f aca="false">IF(D134="","",EDATE(EMI_StartDate,A134))</f>
        <v>50172</v>
      </c>
      <c r="C134" s="15" t="n">
        <f aca="false">IF(D133="","",G133)</f>
        <v>686745.744740557</v>
      </c>
      <c r="D134" s="15" t="n">
        <f aca="false">IF(A134&gt;EMI_NPer,"",EMI_Payment)</f>
        <v>9321.31187833522</v>
      </c>
      <c r="E134" s="15" t="n">
        <f aca="false">IF(D134="","",D134-F134)</f>
        <v>3884.57473247248</v>
      </c>
      <c r="F134" s="15" t="n">
        <f aca="false">IF(D134="","",C134*EMI_MonthlyRate)</f>
        <v>5436.73714586274</v>
      </c>
      <c r="G134" s="15" t="n">
        <f aca="false">IF(D134="","",MAX(C134-E134,0))</f>
        <v>682861.170008084</v>
      </c>
    </row>
    <row r="135" customFormat="false" ht="15" hidden="false" customHeight="true" outlineLevel="0" collapsed="false">
      <c r="A135" s="10" t="n">
        <f aca="false">A134+1</f>
        <v>131</v>
      </c>
      <c r="B135" s="54" t="n">
        <f aca="false">IF(D135="","",EDATE(EMI_StartDate,A135))</f>
        <v>50203</v>
      </c>
      <c r="C135" s="11" t="n">
        <f aca="false">IF(D134="","",G134)</f>
        <v>682861.170008084</v>
      </c>
      <c r="D135" s="11" t="n">
        <f aca="false">IF(A135&gt;EMI_NPer,"",EMI_Payment)</f>
        <v>9321.31187833522</v>
      </c>
      <c r="E135" s="11" t="n">
        <f aca="false">IF(D135="","",D135-F135)</f>
        <v>3915.32761577122</v>
      </c>
      <c r="F135" s="11" t="n">
        <f aca="false">IF(D135="","",C135*EMI_MonthlyRate)</f>
        <v>5405.984262564</v>
      </c>
      <c r="G135" s="11" t="n">
        <f aca="false">IF(D135="","",MAX(C135-E135,0))</f>
        <v>678945.842392313</v>
      </c>
    </row>
    <row r="136" customFormat="false" ht="15" hidden="false" customHeight="true" outlineLevel="0" collapsed="false">
      <c r="A136" s="14" t="n">
        <f aca="false">A135+1</f>
        <v>132</v>
      </c>
      <c r="B136" s="55" t="n">
        <f aca="false">IF(D136="","",EDATE(EMI_StartDate,A136))</f>
        <v>50233</v>
      </c>
      <c r="C136" s="15" t="n">
        <f aca="false">IF(D135="","",G135)</f>
        <v>678945.842392313</v>
      </c>
      <c r="D136" s="15" t="n">
        <f aca="false">IF(A136&gt;EMI_NPer,"",EMI_Payment)</f>
        <v>9321.31187833522</v>
      </c>
      <c r="E136" s="15" t="n">
        <f aca="false">IF(D136="","",D136-F136)</f>
        <v>3946.32395939607</v>
      </c>
      <c r="F136" s="15" t="n">
        <f aca="false">IF(D136="","",C136*EMI_MonthlyRate)</f>
        <v>5374.98791893914</v>
      </c>
      <c r="G136" s="15" t="n">
        <f aca="false">IF(D136="","",MAX(C136-E136,0))</f>
        <v>674999.518432917</v>
      </c>
    </row>
    <row r="137" customFormat="false" ht="15" hidden="false" customHeight="true" outlineLevel="0" collapsed="false">
      <c r="A137" s="10" t="n">
        <f aca="false">A136+1</f>
        <v>133</v>
      </c>
      <c r="B137" s="54" t="n">
        <f aca="false">IF(D137="","",EDATE(EMI_StartDate,A137))</f>
        <v>50264</v>
      </c>
      <c r="C137" s="11" t="n">
        <f aca="false">IF(D136="","",G136)</f>
        <v>674999.518432917</v>
      </c>
      <c r="D137" s="11" t="n">
        <f aca="false">IF(A137&gt;EMI_NPer,"",EMI_Payment)</f>
        <v>9321.31187833522</v>
      </c>
      <c r="E137" s="11" t="n">
        <f aca="false">IF(D137="","",D137-F137)</f>
        <v>3977.56569074129</v>
      </c>
      <c r="F137" s="11" t="n">
        <f aca="false">IF(D137="","",C137*EMI_MonthlyRate)</f>
        <v>5343.74618759392</v>
      </c>
      <c r="G137" s="11" t="n">
        <f aca="false">IF(D137="","",MAX(C137-E137,0))</f>
        <v>671021.952742175</v>
      </c>
    </row>
    <row r="138" customFormat="false" ht="15" hidden="false" customHeight="true" outlineLevel="0" collapsed="false">
      <c r="A138" s="14" t="n">
        <f aca="false">A137+1</f>
        <v>134</v>
      </c>
      <c r="B138" s="55" t="n">
        <f aca="false">IF(D138="","",EDATE(EMI_StartDate,A138))</f>
        <v>50295</v>
      </c>
      <c r="C138" s="15" t="n">
        <f aca="false">IF(D137="","",G137)</f>
        <v>671021.952742175</v>
      </c>
      <c r="D138" s="15" t="n">
        <f aca="false">IF(A138&gt;EMI_NPer,"",EMI_Payment)</f>
        <v>9321.31187833522</v>
      </c>
      <c r="E138" s="15" t="n">
        <f aca="false">IF(D138="","",D138-F138)</f>
        <v>4009.05475245966</v>
      </c>
      <c r="F138" s="15" t="n">
        <f aca="false">IF(D138="","",C138*EMI_MonthlyRate)</f>
        <v>5312.25712587556</v>
      </c>
      <c r="G138" s="15" t="n">
        <f aca="false">IF(D138="","",MAX(C138-E138,0))</f>
        <v>667012.897989716</v>
      </c>
    </row>
    <row r="139" customFormat="false" ht="15" hidden="false" customHeight="true" outlineLevel="0" collapsed="false">
      <c r="A139" s="10" t="n">
        <f aca="false">A138+1</f>
        <v>135</v>
      </c>
      <c r="B139" s="54" t="n">
        <f aca="false">IF(D139="","",EDATE(EMI_StartDate,A139))</f>
        <v>50325</v>
      </c>
      <c r="C139" s="11" t="n">
        <f aca="false">IF(D138="","",G138)</f>
        <v>667012.897989716</v>
      </c>
      <c r="D139" s="11" t="n">
        <f aca="false">IF(A139&gt;EMI_NPer,"",EMI_Payment)</f>
        <v>9321.31187833522</v>
      </c>
      <c r="E139" s="11" t="n">
        <f aca="false">IF(D139="","",D139-F139)</f>
        <v>4040.7931025833</v>
      </c>
      <c r="F139" s="11" t="n">
        <f aca="false">IF(D139="","",C139*EMI_MonthlyRate)</f>
        <v>5280.51877575192</v>
      </c>
      <c r="G139" s="11" t="n">
        <f aca="false">IF(D139="","",MAX(C139-E139,0))</f>
        <v>662972.104887133</v>
      </c>
    </row>
    <row r="140" customFormat="false" ht="15" hidden="false" customHeight="true" outlineLevel="0" collapsed="false">
      <c r="A140" s="14" t="n">
        <f aca="false">A139+1</f>
        <v>136</v>
      </c>
      <c r="B140" s="55" t="n">
        <f aca="false">IF(D140="","",EDATE(EMI_StartDate,A140))</f>
        <v>50356</v>
      </c>
      <c r="C140" s="15" t="n">
        <f aca="false">IF(D139="","",G139)</f>
        <v>662972.104887133</v>
      </c>
      <c r="D140" s="15" t="n">
        <f aca="false">IF(A140&gt;EMI_NPer,"",EMI_Payment)</f>
        <v>9321.31187833522</v>
      </c>
      <c r="E140" s="15" t="n">
        <f aca="false">IF(D140="","",D140-F140)</f>
        <v>4072.78271464542</v>
      </c>
      <c r="F140" s="15" t="n">
        <f aca="false">IF(D140="","",C140*EMI_MonthlyRate)</f>
        <v>5248.5291636898</v>
      </c>
      <c r="G140" s="15" t="n">
        <f aca="false">IF(D140="","",MAX(C140-E140,0))</f>
        <v>658899.322172487</v>
      </c>
    </row>
    <row r="141" customFormat="false" ht="15" hidden="false" customHeight="true" outlineLevel="0" collapsed="false">
      <c r="A141" s="10" t="n">
        <f aca="false">A140+1</f>
        <v>137</v>
      </c>
      <c r="B141" s="54" t="n">
        <f aca="false">IF(D141="","",EDATE(EMI_StartDate,A141))</f>
        <v>50386</v>
      </c>
      <c r="C141" s="11" t="n">
        <f aca="false">IF(D140="","",G140)</f>
        <v>658899.322172487</v>
      </c>
      <c r="D141" s="11" t="n">
        <f aca="false">IF(A141&gt;EMI_NPer,"",EMI_Payment)</f>
        <v>9321.31187833522</v>
      </c>
      <c r="E141" s="11" t="n">
        <f aca="false">IF(D141="","",D141-F141)</f>
        <v>4105.02557780303</v>
      </c>
      <c r="F141" s="11" t="n">
        <f aca="false">IF(D141="","",C141*EMI_MonthlyRate)</f>
        <v>5216.28630053219</v>
      </c>
      <c r="G141" s="11" t="n">
        <f aca="false">IF(D141="","",MAX(C141-E141,0))</f>
        <v>654794.296594684</v>
      </c>
    </row>
    <row r="142" customFormat="false" ht="15" hidden="false" customHeight="true" outlineLevel="0" collapsed="false">
      <c r="A142" s="14" t="n">
        <f aca="false">A141+1</f>
        <v>138</v>
      </c>
      <c r="B142" s="55" t="n">
        <f aca="false">IF(D142="","",EDATE(EMI_StartDate,A142))</f>
        <v>50417</v>
      </c>
      <c r="C142" s="15" t="n">
        <f aca="false">IF(D141="","",G141)</f>
        <v>654794.296594684</v>
      </c>
      <c r="D142" s="15" t="n">
        <f aca="false">IF(A142&gt;EMI_NPer,"",EMI_Payment)</f>
        <v>9321.31187833522</v>
      </c>
      <c r="E142" s="15" t="n">
        <f aca="false">IF(D142="","",D142-F142)</f>
        <v>4137.52369696064</v>
      </c>
      <c r="F142" s="15" t="n">
        <f aca="false">IF(D142="","",C142*EMI_MonthlyRate)</f>
        <v>5183.78818137458</v>
      </c>
      <c r="G142" s="15" t="n">
        <f aca="false">IF(D142="","",MAX(C142-E142,0))</f>
        <v>650656.772897724</v>
      </c>
    </row>
    <row r="143" customFormat="false" ht="15" hidden="false" customHeight="true" outlineLevel="0" collapsed="false">
      <c r="A143" s="10" t="n">
        <f aca="false">A142+1</f>
        <v>139</v>
      </c>
      <c r="B143" s="54" t="n">
        <f aca="false">IF(D143="","",EDATE(EMI_StartDate,A143))</f>
        <v>50448</v>
      </c>
      <c r="C143" s="11" t="n">
        <f aca="false">IF(D142="","",G142)</f>
        <v>650656.772897724</v>
      </c>
      <c r="D143" s="11" t="n">
        <f aca="false">IF(A143&gt;EMI_NPer,"",EMI_Payment)</f>
        <v>9321.31187833522</v>
      </c>
      <c r="E143" s="11" t="n">
        <f aca="false">IF(D143="","",D143-F143)</f>
        <v>4170.27909289491</v>
      </c>
      <c r="F143" s="11" t="n">
        <f aca="false">IF(D143="","",C143*EMI_MonthlyRate)</f>
        <v>5151.03278544031</v>
      </c>
      <c r="G143" s="11" t="n">
        <f aca="false">IF(D143="","",MAX(C143-E143,0))</f>
        <v>646486.493804829</v>
      </c>
    </row>
    <row r="144" customFormat="false" ht="15" hidden="false" customHeight="true" outlineLevel="0" collapsed="false">
      <c r="A144" s="14" t="n">
        <f aca="false">A143+1</f>
        <v>140</v>
      </c>
      <c r="B144" s="55" t="n">
        <f aca="false">IF(D144="","",EDATE(EMI_StartDate,A144))</f>
        <v>50476</v>
      </c>
      <c r="C144" s="15" t="n">
        <f aca="false">IF(D143="","",G143)</f>
        <v>646486.493804829</v>
      </c>
      <c r="D144" s="15" t="n">
        <f aca="false">IF(A144&gt;EMI_NPer,"",EMI_Payment)</f>
        <v>9321.31187833522</v>
      </c>
      <c r="E144" s="15" t="n">
        <f aca="false">IF(D144="","",D144-F144)</f>
        <v>4203.29380238032</v>
      </c>
      <c r="F144" s="15" t="n">
        <f aca="false">IF(D144="","",C144*EMI_MonthlyRate)</f>
        <v>5118.01807595489</v>
      </c>
      <c r="G144" s="15" t="n">
        <f aca="false">IF(D144="","",MAX(C144-E144,0))</f>
        <v>642283.200002448</v>
      </c>
    </row>
    <row r="145" customFormat="false" ht="15" hidden="false" customHeight="true" outlineLevel="0" collapsed="false">
      <c r="A145" s="10" t="n">
        <f aca="false">A144+1</f>
        <v>141</v>
      </c>
      <c r="B145" s="54" t="n">
        <f aca="false">IF(D145="","",EDATE(EMI_StartDate,A145))</f>
        <v>50507</v>
      </c>
      <c r="C145" s="11" t="n">
        <f aca="false">IF(D144="","",G144)</f>
        <v>642283.200002448</v>
      </c>
      <c r="D145" s="11" t="n">
        <f aca="false">IF(A145&gt;EMI_NPer,"",EMI_Payment)</f>
        <v>9321.31187833522</v>
      </c>
      <c r="E145" s="11" t="n">
        <f aca="false">IF(D145="","",D145-F145)</f>
        <v>4236.56987831584</v>
      </c>
      <c r="F145" s="11" t="n">
        <f aca="false">IF(D145="","",C145*EMI_MonthlyRate)</f>
        <v>5084.74200001938</v>
      </c>
      <c r="G145" s="11" t="n">
        <f aca="false">IF(D145="","",MAX(C145-E145,0))</f>
        <v>638046.630124133</v>
      </c>
    </row>
    <row r="146" customFormat="false" ht="15" hidden="false" customHeight="true" outlineLevel="0" collapsed="false">
      <c r="A146" s="14" t="n">
        <f aca="false">A145+1</f>
        <v>142</v>
      </c>
      <c r="B146" s="55" t="n">
        <f aca="false">IF(D146="","",EDATE(EMI_StartDate,A146))</f>
        <v>50537</v>
      </c>
      <c r="C146" s="15" t="n">
        <f aca="false">IF(D145="","",G145)</f>
        <v>638046.630124133</v>
      </c>
      <c r="D146" s="15" t="n">
        <f aca="false">IF(A146&gt;EMI_NPer,"",EMI_Payment)</f>
        <v>9321.31187833522</v>
      </c>
      <c r="E146" s="15" t="n">
        <f aca="false">IF(D146="","",D146-F146)</f>
        <v>4270.1093898525</v>
      </c>
      <c r="F146" s="15" t="n">
        <f aca="false">IF(D146="","",C146*EMI_MonthlyRate)</f>
        <v>5051.20248848272</v>
      </c>
      <c r="G146" s="15" t="n">
        <f aca="false">IF(D146="","",MAX(C146-E146,0))</f>
        <v>633776.52073428</v>
      </c>
    </row>
    <row r="147" customFormat="false" ht="15" hidden="false" customHeight="true" outlineLevel="0" collapsed="false">
      <c r="A147" s="10" t="n">
        <f aca="false">A146+1</f>
        <v>143</v>
      </c>
      <c r="B147" s="54" t="n">
        <f aca="false">IF(D147="","",EDATE(EMI_StartDate,A147))</f>
        <v>50568</v>
      </c>
      <c r="C147" s="11" t="n">
        <f aca="false">IF(D146="","",G146)</f>
        <v>633776.52073428</v>
      </c>
      <c r="D147" s="11" t="n">
        <f aca="false">IF(A147&gt;EMI_NPer,"",EMI_Payment)</f>
        <v>9321.31187833522</v>
      </c>
      <c r="E147" s="11" t="n">
        <f aca="false">IF(D147="","",D147-F147)</f>
        <v>4303.91442252217</v>
      </c>
      <c r="F147" s="11" t="n">
        <f aca="false">IF(D147="","",C147*EMI_MonthlyRate)</f>
        <v>5017.39745581305</v>
      </c>
      <c r="G147" s="11" t="n">
        <f aca="false">IF(D147="","",MAX(C147-E147,0))</f>
        <v>629472.606311758</v>
      </c>
    </row>
    <row r="148" customFormat="false" ht="15" hidden="false" customHeight="true" outlineLevel="0" collapsed="false">
      <c r="A148" s="14" t="n">
        <f aca="false">A147+1</f>
        <v>144</v>
      </c>
      <c r="B148" s="55" t="n">
        <f aca="false">IF(D148="","",EDATE(EMI_StartDate,A148))</f>
        <v>50598</v>
      </c>
      <c r="C148" s="15" t="n">
        <f aca="false">IF(D147="","",G147)</f>
        <v>629472.606311758</v>
      </c>
      <c r="D148" s="15" t="n">
        <f aca="false">IF(A148&gt;EMI_NPer,"",EMI_Payment)</f>
        <v>9321.31187833522</v>
      </c>
      <c r="E148" s="15" t="n">
        <f aca="false">IF(D148="","",D148-F148)</f>
        <v>4337.98707836714</v>
      </c>
      <c r="F148" s="15" t="n">
        <f aca="false">IF(D148="","",C148*EMI_MonthlyRate)</f>
        <v>4983.32479996808</v>
      </c>
      <c r="G148" s="15" t="n">
        <f aca="false">IF(D148="","",MAX(C148-E148,0))</f>
        <v>625134.619233391</v>
      </c>
    </row>
    <row r="149" customFormat="false" ht="15" hidden="false" customHeight="true" outlineLevel="0" collapsed="false">
      <c r="A149" s="10" t="n">
        <f aca="false">A148+1</f>
        <v>145</v>
      </c>
      <c r="B149" s="54" t="n">
        <f aca="false">IF(D149="","",EDATE(EMI_StartDate,A149))</f>
        <v>50629</v>
      </c>
      <c r="C149" s="11" t="n">
        <f aca="false">IF(D148="","",G148)</f>
        <v>625134.619233391</v>
      </c>
      <c r="D149" s="11" t="n">
        <f aca="false">IF(A149&gt;EMI_NPer,"",EMI_Payment)</f>
        <v>9321.31187833522</v>
      </c>
      <c r="E149" s="11" t="n">
        <f aca="false">IF(D149="","",D149-F149)</f>
        <v>4372.32947607088</v>
      </c>
      <c r="F149" s="11" t="n">
        <f aca="false">IF(D149="","",C149*EMI_MonthlyRate)</f>
        <v>4948.98240226434</v>
      </c>
      <c r="G149" s="11" t="n">
        <f aca="false">IF(D149="","",MAX(C149-E149,0))</f>
        <v>620762.28975732</v>
      </c>
    </row>
    <row r="150" customFormat="false" ht="15" hidden="false" customHeight="true" outlineLevel="0" collapsed="false">
      <c r="A150" s="14" t="n">
        <f aca="false">A149+1</f>
        <v>146</v>
      </c>
      <c r="B150" s="55" t="n">
        <f aca="false">IF(D150="","",EDATE(EMI_StartDate,A150))</f>
        <v>50660</v>
      </c>
      <c r="C150" s="15" t="n">
        <f aca="false">IF(D149="","",G149)</f>
        <v>620762.28975732</v>
      </c>
      <c r="D150" s="15" t="n">
        <f aca="false">IF(A150&gt;EMI_NPer,"",EMI_Payment)</f>
        <v>9321.31187833522</v>
      </c>
      <c r="E150" s="15" t="n">
        <f aca="false">IF(D150="","",D150-F150)</f>
        <v>4406.94375108977</v>
      </c>
      <c r="F150" s="15" t="n">
        <f aca="false">IF(D150="","",C150*EMI_MonthlyRate)</f>
        <v>4914.36812724545</v>
      </c>
      <c r="G150" s="15" t="n">
        <f aca="false">IF(D150="","",MAX(C150-E150,0))</f>
        <v>616355.34600623</v>
      </c>
    </row>
    <row r="151" customFormat="false" ht="15" hidden="false" customHeight="true" outlineLevel="0" collapsed="false">
      <c r="A151" s="10" t="n">
        <f aca="false">A150+1</f>
        <v>147</v>
      </c>
      <c r="B151" s="54" t="n">
        <f aca="false">IF(D151="","",EDATE(EMI_StartDate,A151))</f>
        <v>50690</v>
      </c>
      <c r="C151" s="11" t="n">
        <f aca="false">IF(D150="","",G150)</f>
        <v>616355.34600623</v>
      </c>
      <c r="D151" s="11" t="n">
        <f aca="false">IF(A151&gt;EMI_NPer,"",EMI_Payment)</f>
        <v>9321.31187833522</v>
      </c>
      <c r="E151" s="11" t="n">
        <f aca="false">IF(D151="","",D151-F151)</f>
        <v>4441.8320557859</v>
      </c>
      <c r="F151" s="11" t="n">
        <f aca="false">IF(D151="","",C151*EMI_MonthlyRate)</f>
        <v>4879.47982254932</v>
      </c>
      <c r="G151" s="11" t="n">
        <f aca="false">IF(D151="","",MAX(C151-E151,0))</f>
        <v>611913.513950444</v>
      </c>
    </row>
    <row r="152" customFormat="false" ht="15" hidden="false" customHeight="true" outlineLevel="0" collapsed="false">
      <c r="A152" s="14" t="n">
        <f aca="false">A151+1</f>
        <v>148</v>
      </c>
      <c r="B152" s="55" t="n">
        <f aca="false">IF(D152="","",EDATE(EMI_StartDate,A152))</f>
        <v>50721</v>
      </c>
      <c r="C152" s="15" t="n">
        <f aca="false">IF(D151="","",G151)</f>
        <v>611913.513950444</v>
      </c>
      <c r="D152" s="15" t="n">
        <f aca="false">IF(A152&gt;EMI_NPer,"",EMI_Payment)</f>
        <v>9321.31187833522</v>
      </c>
      <c r="E152" s="15" t="n">
        <f aca="false">IF(D152="","",D152-F152)</f>
        <v>4476.99655956087</v>
      </c>
      <c r="F152" s="15" t="n">
        <f aca="false">IF(D152="","",C152*EMI_MonthlyRate)</f>
        <v>4844.31531877435</v>
      </c>
      <c r="G152" s="15" t="n">
        <f aca="false">IF(D152="","",MAX(C152-E152,0))</f>
        <v>607436.517390883</v>
      </c>
    </row>
    <row r="153" customFormat="false" ht="15" hidden="false" customHeight="true" outlineLevel="0" collapsed="false">
      <c r="A153" s="10" t="n">
        <f aca="false">A152+1</f>
        <v>149</v>
      </c>
      <c r="B153" s="54" t="n">
        <f aca="false">IF(D153="","",EDATE(EMI_StartDate,A153))</f>
        <v>50751</v>
      </c>
      <c r="C153" s="11" t="n">
        <f aca="false">IF(D152="","",G152)</f>
        <v>607436.517390883</v>
      </c>
      <c r="D153" s="11" t="n">
        <f aca="false">IF(A153&gt;EMI_NPer,"",EMI_Payment)</f>
        <v>9321.31187833522</v>
      </c>
      <c r="E153" s="11" t="n">
        <f aca="false">IF(D153="","",D153-F153)</f>
        <v>4512.43944899073</v>
      </c>
      <c r="F153" s="11" t="n">
        <f aca="false">IF(D153="","",C153*EMI_MonthlyRate)</f>
        <v>4808.87242934449</v>
      </c>
      <c r="G153" s="11" t="n">
        <f aca="false">IF(D153="","",MAX(C153-E153,0))</f>
        <v>602924.077941893</v>
      </c>
    </row>
    <row r="154" customFormat="false" ht="15" hidden="false" customHeight="true" outlineLevel="0" collapsed="false">
      <c r="A154" s="14" t="n">
        <f aca="false">A153+1</f>
        <v>150</v>
      </c>
      <c r="B154" s="55" t="n">
        <f aca="false">IF(D154="","",EDATE(EMI_StartDate,A154))</f>
        <v>50782</v>
      </c>
      <c r="C154" s="15" t="n">
        <f aca="false">IF(D153="","",G153)</f>
        <v>602924.077941893</v>
      </c>
      <c r="D154" s="15" t="n">
        <f aca="false">IF(A154&gt;EMI_NPer,"",EMI_Payment)</f>
        <v>9321.31187833522</v>
      </c>
      <c r="E154" s="15" t="n">
        <f aca="false">IF(D154="","",D154-F154)</f>
        <v>4548.1629279619</v>
      </c>
      <c r="F154" s="15" t="n">
        <f aca="false">IF(D154="","",C154*EMI_MonthlyRate)</f>
        <v>4773.14895037332</v>
      </c>
      <c r="G154" s="15" t="n">
        <f aca="false">IF(D154="","",MAX(C154-E154,0))</f>
        <v>598375.915013931</v>
      </c>
    </row>
    <row r="155" customFormat="false" ht="15" hidden="false" customHeight="true" outlineLevel="0" collapsed="false">
      <c r="A155" s="10" t="n">
        <f aca="false">A154+1</f>
        <v>151</v>
      </c>
      <c r="B155" s="54" t="n">
        <f aca="false">IF(D155="","",EDATE(EMI_StartDate,A155))</f>
        <v>50813</v>
      </c>
      <c r="C155" s="11" t="n">
        <f aca="false">IF(D154="","",G154)</f>
        <v>598375.915013931</v>
      </c>
      <c r="D155" s="11" t="n">
        <f aca="false">IF(A155&gt;EMI_NPer,"",EMI_Payment)</f>
        <v>9321.31187833522</v>
      </c>
      <c r="E155" s="11" t="n">
        <f aca="false">IF(D155="","",D155-F155)</f>
        <v>4584.16921780827</v>
      </c>
      <c r="F155" s="11" t="n">
        <f aca="false">IF(D155="","",C155*EMI_MonthlyRate)</f>
        <v>4737.14266052695</v>
      </c>
      <c r="G155" s="11" t="n">
        <f aca="false">IF(D155="","",MAX(C155-E155,0))</f>
        <v>593791.745796122</v>
      </c>
    </row>
    <row r="156" customFormat="false" ht="15" hidden="false" customHeight="true" outlineLevel="0" collapsed="false">
      <c r="A156" s="14" t="n">
        <f aca="false">A155+1</f>
        <v>152</v>
      </c>
      <c r="B156" s="55" t="n">
        <f aca="false">IF(D156="","",EDATE(EMI_StartDate,A156))</f>
        <v>50841</v>
      </c>
      <c r="C156" s="15" t="n">
        <f aca="false">IF(D155="","",G155)</f>
        <v>593791.745796122</v>
      </c>
      <c r="D156" s="15" t="n">
        <f aca="false">IF(A156&gt;EMI_NPer,"",EMI_Payment)</f>
        <v>9321.31187833522</v>
      </c>
      <c r="E156" s="15" t="n">
        <f aca="false">IF(D156="","",D156-F156)</f>
        <v>4620.46055744925</v>
      </c>
      <c r="F156" s="15" t="n">
        <f aca="false">IF(D156="","",C156*EMI_MonthlyRate)</f>
        <v>4700.85132088597</v>
      </c>
      <c r="G156" s="15" t="n">
        <f aca="false">IF(D156="","",MAX(C156-E156,0))</f>
        <v>589171.285238673</v>
      </c>
    </row>
    <row r="157" customFormat="false" ht="15" hidden="false" customHeight="true" outlineLevel="0" collapsed="false">
      <c r="A157" s="10" t="n">
        <f aca="false">A156+1</f>
        <v>153</v>
      </c>
      <c r="B157" s="54" t="n">
        <f aca="false">IF(D157="","",EDATE(EMI_StartDate,A157))</f>
        <v>50872</v>
      </c>
      <c r="C157" s="11" t="n">
        <f aca="false">IF(D156="","",G156)</f>
        <v>589171.285238673</v>
      </c>
      <c r="D157" s="11" t="n">
        <f aca="false">IF(A157&gt;EMI_NPer,"",EMI_Payment)</f>
        <v>9321.31187833522</v>
      </c>
      <c r="E157" s="11" t="n">
        <f aca="false">IF(D157="","",D157-F157)</f>
        <v>4657.03920352906</v>
      </c>
      <c r="F157" s="11" t="n">
        <f aca="false">IF(D157="","",C157*EMI_MonthlyRate)</f>
        <v>4664.27267480616</v>
      </c>
      <c r="G157" s="11" t="n">
        <f aca="false">IF(D157="","",MAX(C157-E157,0))</f>
        <v>584514.246035144</v>
      </c>
    </row>
    <row r="158" customFormat="false" ht="15" hidden="false" customHeight="true" outlineLevel="0" collapsed="false">
      <c r="A158" s="14" t="n">
        <f aca="false">A157+1</f>
        <v>154</v>
      </c>
      <c r="B158" s="55" t="n">
        <f aca="false">IF(D158="","",EDATE(EMI_StartDate,A158))</f>
        <v>50902</v>
      </c>
      <c r="C158" s="15" t="n">
        <f aca="false">IF(D157="","",G157)</f>
        <v>584514.246035144</v>
      </c>
      <c r="D158" s="15" t="n">
        <f aca="false">IF(A158&gt;EMI_NPer,"",EMI_Payment)</f>
        <v>9321.31187833522</v>
      </c>
      <c r="E158" s="15" t="n">
        <f aca="false">IF(D158="","",D158-F158)</f>
        <v>4693.90743055699</v>
      </c>
      <c r="F158" s="15" t="n">
        <f aca="false">IF(D158="","",C158*EMI_MonthlyRate)</f>
        <v>4627.40444777822</v>
      </c>
      <c r="G158" s="15" t="n">
        <f aca="false">IF(D158="","",MAX(C158-E158,0))</f>
        <v>579820.338604587</v>
      </c>
    </row>
    <row r="159" customFormat="false" ht="15" hidden="false" customHeight="true" outlineLevel="0" collapsed="false">
      <c r="A159" s="10" t="n">
        <f aca="false">A158+1</f>
        <v>155</v>
      </c>
      <c r="B159" s="54" t="n">
        <f aca="false">IF(D159="","",EDATE(EMI_StartDate,A159))</f>
        <v>50933</v>
      </c>
      <c r="C159" s="11" t="n">
        <f aca="false">IF(D158="","",G158)</f>
        <v>579820.338604587</v>
      </c>
      <c r="D159" s="11" t="n">
        <f aca="false">IF(A159&gt;EMI_NPer,"",EMI_Payment)</f>
        <v>9321.31187833522</v>
      </c>
      <c r="E159" s="11" t="n">
        <f aca="false">IF(D159="","",D159-F159)</f>
        <v>4731.0675310489</v>
      </c>
      <c r="F159" s="11" t="n">
        <f aca="false">IF(D159="","",C159*EMI_MonthlyRate)</f>
        <v>4590.24434728632</v>
      </c>
      <c r="G159" s="11" t="n">
        <f aca="false">IF(D159="","",MAX(C159-E159,0))</f>
        <v>575089.271073538</v>
      </c>
    </row>
    <row r="160" customFormat="false" ht="15" hidden="false" customHeight="true" outlineLevel="0" collapsed="false">
      <c r="A160" s="14" t="n">
        <f aca="false">A159+1</f>
        <v>156</v>
      </c>
      <c r="B160" s="55" t="n">
        <f aca="false">IF(D160="","",EDATE(EMI_StartDate,A160))</f>
        <v>50963</v>
      </c>
      <c r="C160" s="15" t="n">
        <f aca="false">IF(D159="","",G159)</f>
        <v>575089.271073538</v>
      </c>
      <c r="D160" s="15" t="n">
        <f aca="false">IF(A160&gt;EMI_NPer,"",EMI_Payment)</f>
        <v>9321.31187833522</v>
      </c>
      <c r="E160" s="15" t="n">
        <f aca="false">IF(D160="","",D160-F160)</f>
        <v>4768.52181566971</v>
      </c>
      <c r="F160" s="15" t="n">
        <f aca="false">IF(D160="","",C160*EMI_MonthlyRate)</f>
        <v>4552.79006266551</v>
      </c>
      <c r="G160" s="15" t="n">
        <f aca="false">IF(D160="","",MAX(C160-E160,0))</f>
        <v>570320.749257869</v>
      </c>
    </row>
    <row r="161" customFormat="false" ht="15" hidden="false" customHeight="true" outlineLevel="0" collapsed="false">
      <c r="A161" s="10" t="n">
        <f aca="false">A160+1</f>
        <v>157</v>
      </c>
      <c r="B161" s="54" t="n">
        <f aca="false">IF(D161="","",EDATE(EMI_StartDate,A161))</f>
        <v>50994</v>
      </c>
      <c r="C161" s="11" t="n">
        <f aca="false">IF(D160="","",G160)</f>
        <v>570320.749257869</v>
      </c>
      <c r="D161" s="11" t="n">
        <f aca="false">IF(A161&gt;EMI_NPer,"",EMI_Payment)</f>
        <v>9321.31187833522</v>
      </c>
      <c r="E161" s="11" t="n">
        <f aca="false">IF(D161="","",D161-F161)</f>
        <v>4806.27261337709</v>
      </c>
      <c r="F161" s="11" t="n">
        <f aca="false">IF(D161="","",C161*EMI_MonthlyRate)</f>
        <v>4515.03926495813</v>
      </c>
      <c r="G161" s="11" t="n">
        <f aca="false">IF(D161="","",MAX(C161-E161,0))</f>
        <v>565514.476644491</v>
      </c>
    </row>
    <row r="162" customFormat="false" ht="15" hidden="false" customHeight="true" outlineLevel="0" collapsed="false">
      <c r="A162" s="14" t="n">
        <f aca="false">A161+1</f>
        <v>158</v>
      </c>
      <c r="B162" s="55" t="n">
        <f aca="false">IF(D162="","",EDATE(EMI_StartDate,A162))</f>
        <v>51025</v>
      </c>
      <c r="C162" s="15" t="n">
        <f aca="false">IF(D161="","",G161)</f>
        <v>565514.476644491</v>
      </c>
      <c r="D162" s="15" t="n">
        <f aca="false">IF(A162&gt;EMI_NPer,"",EMI_Payment)</f>
        <v>9321.31187833522</v>
      </c>
      <c r="E162" s="15" t="n">
        <f aca="false">IF(D162="","",D162-F162)</f>
        <v>4844.32227156633</v>
      </c>
      <c r="F162" s="15" t="n">
        <f aca="false">IF(D162="","",C162*EMI_MonthlyRate)</f>
        <v>4476.98960676889</v>
      </c>
      <c r="G162" s="15" t="n">
        <f aca="false">IF(D162="","",MAX(C162-E162,0))</f>
        <v>560670.154372925</v>
      </c>
    </row>
    <row r="163" customFormat="false" ht="15" hidden="false" customHeight="true" outlineLevel="0" collapsed="false">
      <c r="A163" s="10" t="n">
        <f aca="false">A162+1</f>
        <v>159</v>
      </c>
      <c r="B163" s="54" t="n">
        <f aca="false">IF(D163="","",EDATE(EMI_StartDate,A163))</f>
        <v>51055</v>
      </c>
      <c r="C163" s="11" t="n">
        <f aca="false">IF(D162="","",G162)</f>
        <v>560670.154372925</v>
      </c>
      <c r="D163" s="11" t="n">
        <f aca="false">IF(A163&gt;EMI_NPer,"",EMI_Payment)</f>
        <v>9321.31187833522</v>
      </c>
      <c r="E163" s="11" t="n">
        <f aca="false">IF(D163="","",D163-F163)</f>
        <v>4882.67315621623</v>
      </c>
      <c r="F163" s="11" t="n">
        <f aca="false">IF(D163="","",C163*EMI_MonthlyRate)</f>
        <v>4438.63872211899</v>
      </c>
      <c r="G163" s="11" t="n">
        <f aca="false">IF(D163="","",MAX(C163-E163,0))</f>
        <v>555787.481216709</v>
      </c>
    </row>
    <row r="164" customFormat="false" ht="15" hidden="false" customHeight="true" outlineLevel="0" collapsed="false">
      <c r="A164" s="14" t="n">
        <f aca="false">A163+1</f>
        <v>160</v>
      </c>
      <c r="B164" s="55" t="n">
        <f aca="false">IF(D164="","",EDATE(EMI_StartDate,A164))</f>
        <v>51086</v>
      </c>
      <c r="C164" s="15" t="n">
        <f aca="false">IF(D163="","",G163)</f>
        <v>555787.481216709</v>
      </c>
      <c r="D164" s="15" t="n">
        <f aca="false">IF(A164&gt;EMI_NPer,"",EMI_Payment)</f>
        <v>9321.31187833522</v>
      </c>
      <c r="E164" s="15" t="n">
        <f aca="false">IF(D164="","",D164-F164)</f>
        <v>4921.32765203627</v>
      </c>
      <c r="F164" s="15" t="n">
        <f aca="false">IF(D164="","",C164*EMI_MonthlyRate)</f>
        <v>4399.98422629895</v>
      </c>
      <c r="G164" s="15" t="n">
        <f aca="false">IF(D164="","",MAX(C164-E164,0))</f>
        <v>550866.153564673</v>
      </c>
    </row>
    <row r="165" customFormat="false" ht="15" hidden="false" customHeight="true" outlineLevel="0" collapsed="false">
      <c r="A165" s="10" t="n">
        <f aca="false">A164+1</f>
        <v>161</v>
      </c>
      <c r="B165" s="54" t="n">
        <f aca="false">IF(D165="","",EDATE(EMI_StartDate,A165))</f>
        <v>51116</v>
      </c>
      <c r="C165" s="11" t="n">
        <f aca="false">IF(D164="","",G164)</f>
        <v>550866.153564673</v>
      </c>
      <c r="D165" s="11" t="n">
        <f aca="false">IF(A165&gt;EMI_NPer,"",EMI_Payment)</f>
        <v>9321.31187833522</v>
      </c>
      <c r="E165" s="11" t="n">
        <f aca="false">IF(D165="","",D165-F165)</f>
        <v>4960.2881626149</v>
      </c>
      <c r="F165" s="11" t="n">
        <f aca="false">IF(D165="","",C165*EMI_MonthlyRate)</f>
        <v>4361.02371572032</v>
      </c>
      <c r="G165" s="11" t="n">
        <f aca="false">IF(D165="","",MAX(C165-E165,0))</f>
        <v>545905.865402058</v>
      </c>
    </row>
    <row r="166" customFormat="false" ht="15" hidden="false" customHeight="true" outlineLevel="0" collapsed="false">
      <c r="A166" s="14" t="n">
        <f aca="false">A165+1</f>
        <v>162</v>
      </c>
      <c r="B166" s="55" t="n">
        <f aca="false">IF(D166="","",EDATE(EMI_StartDate,A166))</f>
        <v>51147</v>
      </c>
      <c r="C166" s="15" t="n">
        <f aca="false">IF(D165="","",G165)</f>
        <v>545905.865402058</v>
      </c>
      <c r="D166" s="15" t="n">
        <f aca="false">IF(A166&gt;EMI_NPer,"",EMI_Payment)</f>
        <v>9321.31187833522</v>
      </c>
      <c r="E166" s="15" t="n">
        <f aca="false">IF(D166="","",D166-F166)</f>
        <v>4999.55711056893</v>
      </c>
      <c r="F166" s="15" t="n">
        <f aca="false">IF(D166="","",C166*EMI_MonthlyRate)</f>
        <v>4321.75476776629</v>
      </c>
      <c r="G166" s="15" t="n">
        <f aca="false">IF(D166="","",MAX(C166-E166,0))</f>
        <v>540906.308291489</v>
      </c>
    </row>
    <row r="167" customFormat="false" ht="15" hidden="false" customHeight="true" outlineLevel="0" collapsed="false">
      <c r="A167" s="10" t="n">
        <f aca="false">A166+1</f>
        <v>163</v>
      </c>
      <c r="B167" s="54" t="n">
        <f aca="false">IF(D167="","",EDATE(EMI_StartDate,A167))</f>
        <v>51178</v>
      </c>
      <c r="C167" s="11" t="n">
        <f aca="false">IF(D166="","",G166)</f>
        <v>540906.308291489</v>
      </c>
      <c r="D167" s="11" t="n">
        <f aca="false">IF(A167&gt;EMI_NPer,"",EMI_Payment)</f>
        <v>9321.31187833522</v>
      </c>
      <c r="E167" s="11" t="n">
        <f aca="false">IF(D167="","",D167-F167)</f>
        <v>5039.13693769427</v>
      </c>
      <c r="F167" s="11" t="n">
        <f aca="false">IF(D167="","",C167*EMI_MonthlyRate)</f>
        <v>4282.17494064095</v>
      </c>
      <c r="G167" s="11" t="n">
        <f aca="false">IF(D167="","",MAX(C167-E167,0))</f>
        <v>535867.171353794</v>
      </c>
    </row>
    <row r="168" customFormat="false" ht="15" hidden="false" customHeight="true" outlineLevel="0" collapsed="false">
      <c r="A168" s="14" t="n">
        <f aca="false">A167+1</f>
        <v>164</v>
      </c>
      <c r="B168" s="55" t="n">
        <f aca="false">IF(D168="","",EDATE(EMI_StartDate,A168))</f>
        <v>51207</v>
      </c>
      <c r="C168" s="15" t="n">
        <f aca="false">IF(D167="","",G167)</f>
        <v>535867.171353794</v>
      </c>
      <c r="D168" s="15" t="n">
        <f aca="false">IF(A168&gt;EMI_NPer,"",EMI_Payment)</f>
        <v>9321.31187833522</v>
      </c>
      <c r="E168" s="15" t="n">
        <f aca="false">IF(D168="","",D168-F168)</f>
        <v>5079.03010511768</v>
      </c>
      <c r="F168" s="15" t="n">
        <f aca="false">IF(D168="","",C168*EMI_MonthlyRate)</f>
        <v>4242.28177321754</v>
      </c>
      <c r="G168" s="15" t="n">
        <f aca="false">IF(D168="","",MAX(C168-E168,0))</f>
        <v>530788.141248677</v>
      </c>
    </row>
    <row r="169" customFormat="false" ht="15" hidden="false" customHeight="true" outlineLevel="0" collapsed="false">
      <c r="A169" s="10" t="n">
        <f aca="false">A168+1</f>
        <v>165</v>
      </c>
      <c r="B169" s="54" t="n">
        <f aca="false">IF(D169="","",EDATE(EMI_StartDate,A169))</f>
        <v>51238</v>
      </c>
      <c r="C169" s="11" t="n">
        <f aca="false">IF(D168="","",G168)</f>
        <v>530788.141248677</v>
      </c>
      <c r="D169" s="11" t="n">
        <f aca="false">IF(A169&gt;EMI_NPer,"",EMI_Payment)</f>
        <v>9321.31187833522</v>
      </c>
      <c r="E169" s="11" t="n">
        <f aca="false">IF(D169="","",D169-F169)</f>
        <v>5119.23909344986</v>
      </c>
      <c r="F169" s="11" t="n">
        <f aca="false">IF(D169="","",C169*EMI_MonthlyRate)</f>
        <v>4202.07278488536</v>
      </c>
      <c r="G169" s="11" t="n">
        <f aca="false">IF(D169="","",MAX(C169-E169,0))</f>
        <v>525668.902155227</v>
      </c>
    </row>
    <row r="170" customFormat="false" ht="15" hidden="false" customHeight="true" outlineLevel="0" collapsed="false">
      <c r="A170" s="14" t="n">
        <f aca="false">A169+1</f>
        <v>166</v>
      </c>
      <c r="B170" s="55" t="n">
        <f aca="false">IF(D170="","",EDATE(EMI_StartDate,A170))</f>
        <v>51268</v>
      </c>
      <c r="C170" s="15" t="n">
        <f aca="false">IF(D169="","",G169)</f>
        <v>525668.902155227</v>
      </c>
      <c r="D170" s="15" t="n">
        <f aca="false">IF(A170&gt;EMI_NPer,"",EMI_Payment)</f>
        <v>9321.31187833522</v>
      </c>
      <c r="E170" s="15" t="n">
        <f aca="false">IF(D170="","",D170-F170)</f>
        <v>5159.76640293967</v>
      </c>
      <c r="F170" s="15" t="n">
        <f aca="false">IF(D170="","",C170*EMI_MonthlyRate)</f>
        <v>4161.54547539555</v>
      </c>
      <c r="G170" s="15" t="n">
        <f aca="false">IF(D170="","",MAX(C170-E170,0))</f>
        <v>520509.135752287</v>
      </c>
    </row>
    <row r="171" customFormat="false" ht="15" hidden="false" customHeight="true" outlineLevel="0" collapsed="false">
      <c r="A171" s="10" t="n">
        <f aca="false">A170+1</f>
        <v>167</v>
      </c>
      <c r="B171" s="54" t="n">
        <f aca="false">IF(D171="","",EDATE(EMI_StartDate,A171))</f>
        <v>51299</v>
      </c>
      <c r="C171" s="11" t="n">
        <f aca="false">IF(D170="","",G170)</f>
        <v>520509.135752287</v>
      </c>
      <c r="D171" s="11" t="n">
        <f aca="false">IF(A171&gt;EMI_NPer,"",EMI_Payment)</f>
        <v>9321.31187833522</v>
      </c>
      <c r="E171" s="11" t="n">
        <f aca="false">IF(D171="","",D171-F171)</f>
        <v>5200.61455362961</v>
      </c>
      <c r="F171" s="11" t="n">
        <f aca="false">IF(D171="","",C171*EMI_MonthlyRate)</f>
        <v>4120.69732470561</v>
      </c>
      <c r="G171" s="11" t="n">
        <f aca="false">IF(D171="","",MAX(C171-E171,0))</f>
        <v>515308.521198657</v>
      </c>
    </row>
    <row r="172" customFormat="false" ht="15" hidden="false" customHeight="true" outlineLevel="0" collapsed="false">
      <c r="A172" s="14" t="n">
        <f aca="false">A171+1</f>
        <v>168</v>
      </c>
      <c r="B172" s="55" t="n">
        <f aca="false">IF(D172="","",EDATE(EMI_StartDate,A172))</f>
        <v>51329</v>
      </c>
      <c r="C172" s="15" t="n">
        <f aca="false">IF(D171="","",G171)</f>
        <v>515308.521198657</v>
      </c>
      <c r="D172" s="15" t="n">
        <f aca="false">IF(A172&gt;EMI_NPer,"",EMI_Payment)</f>
        <v>9321.31187833522</v>
      </c>
      <c r="E172" s="15" t="n">
        <f aca="false">IF(D172="","",D172-F172)</f>
        <v>5241.78608551251</v>
      </c>
      <c r="F172" s="15" t="n">
        <f aca="false">IF(D172="","",C172*EMI_MonthlyRate)</f>
        <v>4079.5257928227</v>
      </c>
      <c r="G172" s="15" t="n">
        <f aca="false">IF(D172="","",MAX(C172-E172,0))</f>
        <v>510066.735113145</v>
      </c>
    </row>
    <row r="173" customFormat="false" ht="15" hidden="false" customHeight="true" outlineLevel="0" collapsed="false">
      <c r="A173" s="10" t="n">
        <f aca="false">A172+1</f>
        <v>169</v>
      </c>
      <c r="B173" s="54" t="n">
        <f aca="false">IF(D173="","",EDATE(EMI_StartDate,A173))</f>
        <v>51360</v>
      </c>
      <c r="C173" s="11" t="n">
        <f aca="false">IF(D172="","",G172)</f>
        <v>510066.735113145</v>
      </c>
      <c r="D173" s="11" t="n">
        <f aca="false">IF(A173&gt;EMI_NPer,"",EMI_Payment)</f>
        <v>9321.31187833522</v>
      </c>
      <c r="E173" s="11" t="n">
        <f aca="false">IF(D173="","",D173-F173)</f>
        <v>5283.28355868949</v>
      </c>
      <c r="F173" s="11" t="n">
        <f aca="false">IF(D173="","",C173*EMI_MonthlyRate)</f>
        <v>4038.02831964573</v>
      </c>
      <c r="G173" s="11" t="n">
        <f aca="false">IF(D173="","",MAX(C173-E173,0))</f>
        <v>504783.451554455</v>
      </c>
    </row>
    <row r="174" customFormat="false" ht="15" hidden="false" customHeight="true" outlineLevel="0" collapsed="false">
      <c r="A174" s="14" t="n">
        <f aca="false">A173+1</f>
        <v>170</v>
      </c>
      <c r="B174" s="55" t="n">
        <f aca="false">IF(D174="","",EDATE(EMI_StartDate,A174))</f>
        <v>51391</v>
      </c>
      <c r="C174" s="15" t="n">
        <f aca="false">IF(D173="","",G173)</f>
        <v>504783.451554455</v>
      </c>
      <c r="D174" s="15" t="n">
        <f aca="false">IF(A174&gt;EMI_NPer,"",EMI_Payment)</f>
        <v>9321.31187833522</v>
      </c>
      <c r="E174" s="15" t="n">
        <f aca="false">IF(D174="","",D174-F174)</f>
        <v>5325.10955352911</v>
      </c>
      <c r="F174" s="15" t="n">
        <f aca="false">IF(D174="","",C174*EMI_MonthlyRate)</f>
        <v>3996.20232480611</v>
      </c>
      <c r="G174" s="15" t="n">
        <f aca="false">IF(D174="","",MAX(C174-E174,0))</f>
        <v>499458.342000926</v>
      </c>
    </row>
    <row r="175" customFormat="false" ht="15" hidden="false" customHeight="true" outlineLevel="0" collapsed="false">
      <c r="A175" s="10" t="n">
        <f aca="false">A174+1</f>
        <v>171</v>
      </c>
      <c r="B175" s="54" t="n">
        <f aca="false">IF(D175="","",EDATE(EMI_StartDate,A175))</f>
        <v>51421</v>
      </c>
      <c r="C175" s="11" t="n">
        <f aca="false">IF(D174="","",G174)</f>
        <v>499458.342000926</v>
      </c>
      <c r="D175" s="11" t="n">
        <f aca="false">IF(A175&gt;EMI_NPer,"",EMI_Payment)</f>
        <v>9321.31187833522</v>
      </c>
      <c r="E175" s="11" t="n">
        <f aca="false">IF(D175="","",D175-F175)</f>
        <v>5367.26667082789</v>
      </c>
      <c r="F175" s="11" t="n">
        <f aca="false">IF(D175="","",C175*EMI_MonthlyRate)</f>
        <v>3954.04520750733</v>
      </c>
      <c r="G175" s="11" t="n">
        <f aca="false">IF(D175="","",MAX(C175-E175,0))</f>
        <v>494091.075330098</v>
      </c>
    </row>
    <row r="176" customFormat="false" ht="15" hidden="false" customHeight="true" outlineLevel="0" collapsed="false">
      <c r="A176" s="14" t="n">
        <f aca="false">A175+1</f>
        <v>172</v>
      </c>
      <c r="B176" s="55" t="n">
        <f aca="false">IF(D176="","",EDATE(EMI_StartDate,A176))</f>
        <v>51452</v>
      </c>
      <c r="C176" s="15" t="n">
        <f aca="false">IF(D175="","",G175)</f>
        <v>494091.075330098</v>
      </c>
      <c r="D176" s="15" t="n">
        <f aca="false">IF(A176&gt;EMI_NPer,"",EMI_Payment)</f>
        <v>9321.31187833522</v>
      </c>
      <c r="E176" s="15" t="n">
        <f aca="false">IF(D176="","",D176-F176)</f>
        <v>5409.75753197194</v>
      </c>
      <c r="F176" s="15" t="n">
        <f aca="false">IF(D176="","",C176*EMI_MonthlyRate)</f>
        <v>3911.55434636328</v>
      </c>
      <c r="G176" s="15" t="n">
        <f aca="false">IF(D176="","",MAX(C176-E176,0))</f>
        <v>488681.317798127</v>
      </c>
    </row>
    <row r="177" customFormat="false" ht="15" hidden="false" customHeight="true" outlineLevel="0" collapsed="false">
      <c r="A177" s="10" t="n">
        <f aca="false">A176+1</f>
        <v>173</v>
      </c>
      <c r="B177" s="54" t="n">
        <f aca="false">IF(D177="","",EDATE(EMI_StartDate,A177))</f>
        <v>51482</v>
      </c>
      <c r="C177" s="11" t="n">
        <f aca="false">IF(D176="","",G176)</f>
        <v>488681.317798127</v>
      </c>
      <c r="D177" s="11" t="n">
        <f aca="false">IF(A177&gt;EMI_NPer,"",EMI_Payment)</f>
        <v>9321.31187833522</v>
      </c>
      <c r="E177" s="11" t="n">
        <f aca="false">IF(D177="","",D177-F177)</f>
        <v>5452.58477910005</v>
      </c>
      <c r="F177" s="11" t="n">
        <f aca="false">IF(D177="","",C177*EMI_MonthlyRate)</f>
        <v>3868.72709923517</v>
      </c>
      <c r="G177" s="11" t="n">
        <f aca="false">IF(D177="","",MAX(C177-E177,0))</f>
        <v>483228.733019026</v>
      </c>
    </row>
    <row r="178" customFormat="false" ht="15" hidden="false" customHeight="true" outlineLevel="0" collapsed="false">
      <c r="A178" s="14" t="n">
        <f aca="false">A177+1</f>
        <v>174</v>
      </c>
      <c r="B178" s="55" t="n">
        <f aca="false">IF(D178="","",EDATE(EMI_StartDate,A178))</f>
        <v>51513</v>
      </c>
      <c r="C178" s="15" t="n">
        <f aca="false">IF(D177="","",G177)</f>
        <v>483228.733019026</v>
      </c>
      <c r="D178" s="15" t="n">
        <f aca="false">IF(A178&gt;EMI_NPer,"",EMI_Payment)</f>
        <v>9321.31187833522</v>
      </c>
      <c r="E178" s="15" t="n">
        <f aca="false">IF(D178="","",D178-F178)</f>
        <v>5495.75107526792</v>
      </c>
      <c r="F178" s="15" t="n">
        <f aca="false">IF(D178="","",C178*EMI_MonthlyRate)</f>
        <v>3825.56080306729</v>
      </c>
      <c r="G178" s="15" t="n">
        <f aca="false">IF(D178="","",MAX(C178-E178,0))</f>
        <v>477732.981943759</v>
      </c>
    </row>
    <row r="179" customFormat="false" ht="15" hidden="false" customHeight="true" outlineLevel="0" collapsed="false">
      <c r="A179" s="10" t="n">
        <f aca="false">A178+1</f>
        <v>175</v>
      </c>
      <c r="B179" s="54" t="n">
        <f aca="false">IF(D179="","",EDATE(EMI_StartDate,A179))</f>
        <v>51544</v>
      </c>
      <c r="C179" s="11" t="n">
        <f aca="false">IF(D178="","",G178)</f>
        <v>477732.981943759</v>
      </c>
      <c r="D179" s="11" t="n">
        <f aca="false">IF(A179&gt;EMI_NPer,"",EMI_Payment)</f>
        <v>9321.31187833522</v>
      </c>
      <c r="E179" s="11" t="n">
        <f aca="false">IF(D179="","",D179-F179)</f>
        <v>5539.2591046138</v>
      </c>
      <c r="F179" s="11" t="n">
        <f aca="false">IF(D179="","",C179*EMI_MonthlyRate)</f>
        <v>3782.05277372142</v>
      </c>
      <c r="G179" s="11" t="n">
        <f aca="false">IF(D179="","",MAX(C179-E179,0))</f>
        <v>472193.722839145</v>
      </c>
    </row>
    <row r="180" customFormat="false" ht="15" hidden="false" customHeight="true" outlineLevel="0" collapsed="false">
      <c r="A180" s="14" t="n">
        <f aca="false">A179+1</f>
        <v>176</v>
      </c>
      <c r="B180" s="55" t="n">
        <f aca="false">IF(D180="","",EDATE(EMI_StartDate,A180))</f>
        <v>51572</v>
      </c>
      <c r="C180" s="15" t="n">
        <f aca="false">IF(D179="","",G179)</f>
        <v>472193.722839145</v>
      </c>
      <c r="D180" s="15" t="n">
        <f aca="false">IF(A180&gt;EMI_NPer,"",EMI_Payment)</f>
        <v>9321.31187833522</v>
      </c>
      <c r="E180" s="15" t="n">
        <f aca="false">IF(D180="","",D180-F180)</f>
        <v>5583.11157252532</v>
      </c>
      <c r="F180" s="15" t="n">
        <f aca="false">IF(D180="","",C180*EMI_MonthlyRate)</f>
        <v>3738.2003058099</v>
      </c>
      <c r="G180" s="15" t="n">
        <f aca="false">IF(D180="","",MAX(C180-E180,0))</f>
        <v>466610.611266619</v>
      </c>
    </row>
    <row r="181" customFormat="false" ht="15" hidden="false" customHeight="true" outlineLevel="0" collapsed="false">
      <c r="A181" s="10" t="n">
        <f aca="false">A180+1</f>
        <v>177</v>
      </c>
      <c r="B181" s="54" t="n">
        <f aca="false">IF(D181="","",EDATE(EMI_StartDate,A181))</f>
        <v>51603</v>
      </c>
      <c r="C181" s="11" t="n">
        <f aca="false">IF(D180="","",G180)</f>
        <v>466610.611266619</v>
      </c>
      <c r="D181" s="11" t="n">
        <f aca="false">IF(A181&gt;EMI_NPer,"",EMI_Payment)</f>
        <v>9321.31187833522</v>
      </c>
      <c r="E181" s="11" t="n">
        <f aca="false">IF(D181="","",D181-F181)</f>
        <v>5627.31120580782</v>
      </c>
      <c r="F181" s="11" t="n">
        <f aca="false">IF(D181="","",C181*EMI_MonthlyRate)</f>
        <v>3694.0006725274</v>
      </c>
      <c r="G181" s="11" t="n">
        <f aca="false">IF(D181="","",MAX(C181-E181,0))</f>
        <v>460983.300060812</v>
      </c>
    </row>
    <row r="182" customFormat="false" ht="15" hidden="false" customHeight="true" outlineLevel="0" collapsed="false">
      <c r="A182" s="14" t="n">
        <f aca="false">A181+1</f>
        <v>178</v>
      </c>
      <c r="B182" s="55" t="n">
        <f aca="false">IF(D182="","",EDATE(EMI_StartDate,A182))</f>
        <v>51633</v>
      </c>
      <c r="C182" s="15" t="n">
        <f aca="false">IF(D181="","",G181)</f>
        <v>460983.300060812</v>
      </c>
      <c r="D182" s="15" t="n">
        <f aca="false">IF(A182&gt;EMI_NPer,"",EMI_Payment)</f>
        <v>9321.31187833522</v>
      </c>
      <c r="E182" s="15" t="n">
        <f aca="false">IF(D182="","",D182-F182)</f>
        <v>5671.86075285379</v>
      </c>
      <c r="F182" s="15" t="n">
        <f aca="false">IF(D182="","",C182*EMI_MonthlyRate)</f>
        <v>3649.45112548143</v>
      </c>
      <c r="G182" s="15" t="n">
        <f aca="false">IF(D182="","",MAX(C182-E182,0))</f>
        <v>455311.439307958</v>
      </c>
    </row>
    <row r="183" customFormat="false" ht="15" hidden="false" customHeight="true" outlineLevel="0" collapsed="false">
      <c r="A183" s="10" t="n">
        <f aca="false">A182+1</f>
        <v>179</v>
      </c>
      <c r="B183" s="54" t="n">
        <f aca="false">IF(D183="","",EDATE(EMI_StartDate,A183))</f>
        <v>51664</v>
      </c>
      <c r="C183" s="11" t="n">
        <f aca="false">IF(D182="","",G182)</f>
        <v>455311.439307958</v>
      </c>
      <c r="D183" s="11" t="n">
        <f aca="false">IF(A183&gt;EMI_NPer,"",EMI_Payment)</f>
        <v>9321.31187833522</v>
      </c>
      <c r="E183" s="11" t="n">
        <f aca="false">IF(D183="","",D183-F183)</f>
        <v>5716.76298381389</v>
      </c>
      <c r="F183" s="11" t="n">
        <f aca="false">IF(D183="","",C183*EMI_MonthlyRate)</f>
        <v>3604.54889452133</v>
      </c>
      <c r="G183" s="11" t="n">
        <f aca="false">IF(D183="","",MAX(C183-E183,0))</f>
        <v>449594.676324144</v>
      </c>
    </row>
    <row r="184" customFormat="false" ht="15" hidden="false" customHeight="true" outlineLevel="0" collapsed="false">
      <c r="A184" s="14" t="n">
        <f aca="false">A183+1</f>
        <v>180</v>
      </c>
      <c r="B184" s="55" t="n">
        <f aca="false">IF(D184="","",EDATE(EMI_StartDate,A184))</f>
        <v>51694</v>
      </c>
      <c r="C184" s="15" t="n">
        <f aca="false">IF(D183="","",G183)</f>
        <v>449594.676324144</v>
      </c>
      <c r="D184" s="15" t="n">
        <f aca="false">IF(A184&gt;EMI_NPer,"",EMI_Payment)</f>
        <v>9321.31187833522</v>
      </c>
      <c r="E184" s="15" t="n">
        <f aca="false">IF(D184="","",D184-F184)</f>
        <v>5762.02069076908</v>
      </c>
      <c r="F184" s="15" t="n">
        <f aca="false">IF(D184="","",C184*EMI_MonthlyRate)</f>
        <v>3559.29118756614</v>
      </c>
      <c r="G184" s="15" t="n">
        <f aca="false">IF(D184="","",MAX(C184-E184,0))</f>
        <v>443832.655633375</v>
      </c>
    </row>
    <row r="185" customFormat="false" ht="15" hidden="false" customHeight="true" outlineLevel="0" collapsed="false">
      <c r="A185" s="10" t="n">
        <f aca="false">A184+1</f>
        <v>181</v>
      </c>
      <c r="B185" s="54" t="n">
        <f aca="false">IF(D185="","",EDATE(EMI_StartDate,A185))</f>
        <v>51725</v>
      </c>
      <c r="C185" s="11" t="n">
        <f aca="false">IF(D184="","",G184)</f>
        <v>443832.655633375</v>
      </c>
      <c r="D185" s="11" t="n">
        <f aca="false">IF(A185&gt;EMI_NPer,"",EMI_Payment)</f>
        <v>9321.31187833522</v>
      </c>
      <c r="E185" s="11" t="n">
        <f aca="false">IF(D185="","",D185-F185)</f>
        <v>5807.63668790433</v>
      </c>
      <c r="F185" s="11" t="n">
        <f aca="false">IF(D185="","",C185*EMI_MonthlyRate)</f>
        <v>3513.67519043088</v>
      </c>
      <c r="G185" s="11" t="n">
        <f aca="false">IF(D185="","",MAX(C185-E185,0))</f>
        <v>438025.01894547</v>
      </c>
    </row>
    <row r="186" customFormat="false" ht="15" hidden="false" customHeight="true" outlineLevel="0" collapsed="false">
      <c r="A186" s="14" t="n">
        <f aca="false">A185+1</f>
        <v>182</v>
      </c>
      <c r="B186" s="55" t="n">
        <f aca="false">IF(D186="","",EDATE(EMI_StartDate,A186))</f>
        <v>51756</v>
      </c>
      <c r="C186" s="15" t="n">
        <f aca="false">IF(D185="","",G185)</f>
        <v>438025.01894547</v>
      </c>
      <c r="D186" s="15" t="n">
        <f aca="false">IF(A186&gt;EMI_NPer,"",EMI_Payment)</f>
        <v>9321.31187833522</v>
      </c>
      <c r="E186" s="15" t="n">
        <f aca="false">IF(D186="","",D186-F186)</f>
        <v>5853.61381168358</v>
      </c>
      <c r="F186" s="15" t="n">
        <f aca="false">IF(D186="","",C186*EMI_MonthlyRate)</f>
        <v>3467.69806665164</v>
      </c>
      <c r="G186" s="15" t="n">
        <f aca="false">IF(D186="","",MAX(C186-E186,0))</f>
        <v>432171.405133787</v>
      </c>
    </row>
    <row r="187" customFormat="false" ht="15" hidden="false" customHeight="true" outlineLevel="0" collapsed="false">
      <c r="A187" s="10" t="n">
        <f aca="false">A186+1</f>
        <v>183</v>
      </c>
      <c r="B187" s="54" t="n">
        <f aca="false">IF(D187="","",EDATE(EMI_StartDate,A187))</f>
        <v>51786</v>
      </c>
      <c r="C187" s="11" t="n">
        <f aca="false">IF(D186="","",G186)</f>
        <v>432171.405133787</v>
      </c>
      <c r="D187" s="11" t="n">
        <f aca="false">IF(A187&gt;EMI_NPer,"",EMI_Payment)</f>
        <v>9321.31187833522</v>
      </c>
      <c r="E187" s="11" t="n">
        <f aca="false">IF(D187="","",D187-F187)</f>
        <v>5899.95492102607</v>
      </c>
      <c r="F187" s="11" t="n">
        <f aca="false">IF(D187="","",C187*EMI_MonthlyRate)</f>
        <v>3421.35695730915</v>
      </c>
      <c r="G187" s="11" t="n">
        <f aca="false">IF(D187="","",MAX(C187-E187,0))</f>
        <v>426271.450212761</v>
      </c>
    </row>
    <row r="188" customFormat="false" ht="15" hidden="false" customHeight="true" outlineLevel="0" collapsed="false">
      <c r="A188" s="14" t="n">
        <f aca="false">A187+1</f>
        <v>184</v>
      </c>
      <c r="B188" s="55" t="n">
        <f aca="false">IF(D188="","",EDATE(EMI_StartDate,A188))</f>
        <v>51817</v>
      </c>
      <c r="C188" s="15" t="n">
        <f aca="false">IF(D187="","",G187)</f>
        <v>426271.450212761</v>
      </c>
      <c r="D188" s="15" t="n">
        <f aca="false">IF(A188&gt;EMI_NPer,"",EMI_Payment)</f>
        <v>9321.31187833522</v>
      </c>
      <c r="E188" s="15" t="n">
        <f aca="false">IF(D188="","",D188-F188)</f>
        <v>5946.6628974842</v>
      </c>
      <c r="F188" s="15" t="n">
        <f aca="false">IF(D188="","",C188*EMI_MonthlyRate)</f>
        <v>3374.64898085102</v>
      </c>
      <c r="G188" s="15" t="n">
        <f aca="false">IF(D188="","",MAX(C188-E188,0))</f>
        <v>420324.787315277</v>
      </c>
    </row>
    <row r="189" customFormat="false" ht="15" hidden="false" customHeight="true" outlineLevel="0" collapsed="false">
      <c r="A189" s="10" t="n">
        <f aca="false">A188+1</f>
        <v>185</v>
      </c>
      <c r="B189" s="54" t="n">
        <f aca="false">IF(D189="","",EDATE(EMI_StartDate,A189))</f>
        <v>51847</v>
      </c>
      <c r="C189" s="11" t="n">
        <f aca="false">IF(D188="","",G188)</f>
        <v>420324.787315277</v>
      </c>
      <c r="D189" s="11" t="n">
        <f aca="false">IF(A189&gt;EMI_NPer,"",EMI_Payment)</f>
        <v>9321.31187833522</v>
      </c>
      <c r="E189" s="11" t="n">
        <f aca="false">IF(D189="","",D189-F189)</f>
        <v>5993.74064542261</v>
      </c>
      <c r="F189" s="11" t="n">
        <f aca="false">IF(D189="","",C189*EMI_MonthlyRate)</f>
        <v>3327.57123291261</v>
      </c>
      <c r="G189" s="11" t="n">
        <f aca="false">IF(D189="","",MAX(C189-E189,0))</f>
        <v>414331.046669854</v>
      </c>
    </row>
    <row r="190" customFormat="false" ht="15" hidden="false" customHeight="true" outlineLevel="0" collapsed="false">
      <c r="A190" s="14" t="n">
        <f aca="false">A189+1</f>
        <v>186</v>
      </c>
      <c r="B190" s="55" t="n">
        <f aca="false">IF(D190="","",EDATE(EMI_StartDate,A190))</f>
        <v>51878</v>
      </c>
      <c r="C190" s="15" t="n">
        <f aca="false">IF(D189="","",G189)</f>
        <v>414331.046669854</v>
      </c>
      <c r="D190" s="15" t="n">
        <f aca="false">IF(A190&gt;EMI_NPer,"",EMI_Payment)</f>
        <v>9321.31187833522</v>
      </c>
      <c r="E190" s="15" t="n">
        <f aca="false">IF(D190="","",D190-F190)</f>
        <v>6041.19109219887</v>
      </c>
      <c r="F190" s="15" t="n">
        <f aca="false">IF(D190="","",C190*EMI_MonthlyRate)</f>
        <v>3280.12078613634</v>
      </c>
      <c r="G190" s="15" t="n">
        <f aca="false">IF(D190="","",MAX(C190-E190,0))</f>
        <v>408289.855577655</v>
      </c>
    </row>
    <row r="191" customFormat="false" ht="15" hidden="false" customHeight="true" outlineLevel="0" collapsed="false">
      <c r="A191" s="10" t="n">
        <f aca="false">A190+1</f>
        <v>187</v>
      </c>
      <c r="B191" s="54" t="n">
        <f aca="false">IF(D191="","",EDATE(EMI_StartDate,A191))</f>
        <v>51909</v>
      </c>
      <c r="C191" s="11" t="n">
        <f aca="false">IF(D190="","",G190)</f>
        <v>408289.855577655</v>
      </c>
      <c r="D191" s="11" t="n">
        <f aca="false">IF(A191&gt;EMI_NPer,"",EMI_Payment)</f>
        <v>9321.31187833522</v>
      </c>
      <c r="E191" s="11" t="n">
        <f aca="false">IF(D191="","",D191-F191)</f>
        <v>6089.01718834545</v>
      </c>
      <c r="F191" s="11" t="n">
        <f aca="false">IF(D191="","",C191*EMI_MonthlyRate)</f>
        <v>3232.29468998977</v>
      </c>
      <c r="G191" s="11" t="n">
        <f aca="false">IF(D191="","",MAX(C191-E191,0))</f>
        <v>402200.83838931</v>
      </c>
    </row>
    <row r="192" customFormat="false" ht="15" hidden="false" customHeight="true" outlineLevel="0" collapsed="false">
      <c r="A192" s="14" t="n">
        <f aca="false">A191+1</f>
        <v>188</v>
      </c>
      <c r="B192" s="55" t="n">
        <f aca="false">IF(D192="","",EDATE(EMI_StartDate,A192))</f>
        <v>51937</v>
      </c>
      <c r="C192" s="15" t="n">
        <f aca="false">IF(D191="","",G191)</f>
        <v>402200.83838931</v>
      </c>
      <c r="D192" s="15" t="n">
        <f aca="false">IF(A192&gt;EMI_NPer,"",EMI_Payment)</f>
        <v>9321.31187833522</v>
      </c>
      <c r="E192" s="15" t="n">
        <f aca="false">IF(D192="","",D192-F192)</f>
        <v>6137.22190775318</v>
      </c>
      <c r="F192" s="15" t="n">
        <f aca="false">IF(D192="","",C192*EMI_MonthlyRate)</f>
        <v>3184.08997058204</v>
      </c>
      <c r="G192" s="15" t="n">
        <f aca="false">IF(D192="","",MAX(C192-E192,0))</f>
        <v>396063.616481557</v>
      </c>
    </row>
    <row r="193" customFormat="false" ht="15" hidden="false" customHeight="true" outlineLevel="0" collapsed="false">
      <c r="A193" s="10" t="n">
        <f aca="false">A192+1</f>
        <v>189</v>
      </c>
      <c r="B193" s="54" t="n">
        <f aca="false">IF(D193="","",EDATE(EMI_StartDate,A193))</f>
        <v>51968</v>
      </c>
      <c r="C193" s="11" t="n">
        <f aca="false">IF(D192="","",G192)</f>
        <v>396063.616481557</v>
      </c>
      <c r="D193" s="11" t="n">
        <f aca="false">IF(A193&gt;EMI_NPer,"",EMI_Payment)</f>
        <v>9321.31187833522</v>
      </c>
      <c r="E193" s="11" t="n">
        <f aca="false">IF(D193="","",D193-F193)</f>
        <v>6185.80824785623</v>
      </c>
      <c r="F193" s="11" t="n">
        <f aca="false">IF(D193="","",C193*EMI_MonthlyRate)</f>
        <v>3135.50363047899</v>
      </c>
      <c r="G193" s="11" t="n">
        <f aca="false">IF(D193="","",MAX(C193-E193,0))</f>
        <v>389877.8082337</v>
      </c>
    </row>
    <row r="194" customFormat="false" ht="15" hidden="false" customHeight="true" outlineLevel="0" collapsed="false">
      <c r="A194" s="14" t="n">
        <f aca="false">A193+1</f>
        <v>190</v>
      </c>
      <c r="B194" s="55" t="n">
        <f aca="false">IF(D194="","",EDATE(EMI_StartDate,A194))</f>
        <v>51998</v>
      </c>
      <c r="C194" s="15" t="n">
        <f aca="false">IF(D193="","",G193)</f>
        <v>389877.8082337</v>
      </c>
      <c r="D194" s="15" t="n">
        <f aca="false">IF(A194&gt;EMI_NPer,"",EMI_Payment)</f>
        <v>9321.31187833522</v>
      </c>
      <c r="E194" s="15" t="n">
        <f aca="false">IF(D194="","",D194-F194)</f>
        <v>6234.77922981842</v>
      </c>
      <c r="F194" s="15" t="n">
        <f aca="false">IF(D194="","",C194*EMI_MonthlyRate)</f>
        <v>3086.53264851679</v>
      </c>
      <c r="G194" s="15" t="n">
        <f aca="false">IF(D194="","",MAX(C194-E194,0))</f>
        <v>383643.029003882</v>
      </c>
    </row>
    <row r="195" customFormat="false" ht="15" hidden="false" customHeight="true" outlineLevel="0" collapsed="false">
      <c r="A195" s="10" t="n">
        <f aca="false">A194+1</f>
        <v>191</v>
      </c>
      <c r="B195" s="54" t="n">
        <f aca="false">IF(D195="","",EDATE(EMI_StartDate,A195))</f>
        <v>52029</v>
      </c>
      <c r="C195" s="11" t="n">
        <f aca="false">IF(D194="","",G194)</f>
        <v>383643.029003882</v>
      </c>
      <c r="D195" s="11" t="n">
        <f aca="false">IF(A195&gt;EMI_NPer,"",EMI_Payment)</f>
        <v>9321.31187833522</v>
      </c>
      <c r="E195" s="11" t="n">
        <f aca="false">IF(D195="","",D195-F195)</f>
        <v>6284.13789872115</v>
      </c>
      <c r="F195" s="11" t="n">
        <f aca="false">IF(D195="","",C195*EMI_MonthlyRate)</f>
        <v>3037.17397961407</v>
      </c>
      <c r="G195" s="11" t="n">
        <f aca="false">IF(D195="","",MAX(C195-E195,0))</f>
        <v>377358.891105161</v>
      </c>
    </row>
    <row r="196" customFormat="false" ht="15" hidden="false" customHeight="true" outlineLevel="0" collapsed="false">
      <c r="A196" s="14" t="n">
        <f aca="false">A195+1</f>
        <v>192</v>
      </c>
      <c r="B196" s="55" t="n">
        <f aca="false">IF(D196="","",EDATE(EMI_StartDate,A196))</f>
        <v>52059</v>
      </c>
      <c r="C196" s="15" t="n">
        <f aca="false">IF(D195="","",G195)</f>
        <v>377358.891105161</v>
      </c>
      <c r="D196" s="15" t="n">
        <f aca="false">IF(A196&gt;EMI_NPer,"",EMI_Payment)</f>
        <v>9321.31187833522</v>
      </c>
      <c r="E196" s="15" t="n">
        <f aca="false">IF(D196="","",D196-F196)</f>
        <v>6333.8873237527</v>
      </c>
      <c r="F196" s="15" t="n">
        <f aca="false">IF(D196="","",C196*EMI_MonthlyRate)</f>
        <v>2987.42455458252</v>
      </c>
      <c r="G196" s="15" t="n">
        <f aca="false">IF(D196="","",MAX(C196-E196,0))</f>
        <v>371025.003781408</v>
      </c>
    </row>
    <row r="197" customFormat="false" ht="15" hidden="false" customHeight="true" outlineLevel="0" collapsed="false">
      <c r="A197" s="10" t="n">
        <f aca="false">A196+1</f>
        <v>193</v>
      </c>
      <c r="B197" s="54" t="n">
        <f aca="false">IF(D197="","",EDATE(EMI_StartDate,A197))</f>
        <v>52090</v>
      </c>
      <c r="C197" s="11" t="n">
        <f aca="false">IF(D196="","",G196)</f>
        <v>371025.003781408</v>
      </c>
      <c r="D197" s="11" t="n">
        <f aca="false">IF(A197&gt;EMI_NPer,"",EMI_Payment)</f>
        <v>9321.31187833522</v>
      </c>
      <c r="E197" s="11" t="n">
        <f aca="false">IF(D197="","",D197-F197)</f>
        <v>6384.03059839907</v>
      </c>
      <c r="F197" s="11" t="n">
        <f aca="false">IF(D197="","",C197*EMI_MonthlyRate)</f>
        <v>2937.28127993615</v>
      </c>
      <c r="G197" s="11" t="n">
        <f aca="false">IF(D197="","",MAX(C197-E197,0))</f>
        <v>364640.973183009</v>
      </c>
    </row>
    <row r="198" customFormat="false" ht="15" hidden="false" customHeight="true" outlineLevel="0" collapsed="false">
      <c r="A198" s="14" t="n">
        <f aca="false">A197+1</f>
        <v>194</v>
      </c>
      <c r="B198" s="55" t="n">
        <f aca="false">IF(D198="","",EDATE(EMI_StartDate,A198))</f>
        <v>52121</v>
      </c>
      <c r="C198" s="15" t="n">
        <f aca="false">IF(D197="","",G197)</f>
        <v>364640.973183009</v>
      </c>
      <c r="D198" s="15" t="n">
        <f aca="false">IF(A198&gt;EMI_NPer,"",EMI_Payment)</f>
        <v>9321.31187833522</v>
      </c>
      <c r="E198" s="15" t="n">
        <f aca="false">IF(D198="","",D198-F198)</f>
        <v>6434.5708406364</v>
      </c>
      <c r="F198" s="15" t="n">
        <f aca="false">IF(D198="","",C198*EMI_MonthlyRate)</f>
        <v>2886.74103769882</v>
      </c>
      <c r="G198" s="15" t="n">
        <f aca="false">IF(D198="","",MAX(C198-E198,0))</f>
        <v>358206.402342373</v>
      </c>
    </row>
    <row r="199" customFormat="false" ht="15" hidden="false" customHeight="true" outlineLevel="0" collapsed="false">
      <c r="A199" s="10" t="n">
        <f aca="false">A198+1</f>
        <v>195</v>
      </c>
      <c r="B199" s="54" t="n">
        <f aca="false">IF(D199="","",EDATE(EMI_StartDate,A199))</f>
        <v>52151</v>
      </c>
      <c r="C199" s="11" t="n">
        <f aca="false">IF(D198="","",G198)</f>
        <v>358206.402342373</v>
      </c>
      <c r="D199" s="11" t="n">
        <f aca="false">IF(A199&gt;EMI_NPer,"",EMI_Payment)</f>
        <v>9321.31187833522</v>
      </c>
      <c r="E199" s="11" t="n">
        <f aca="false">IF(D199="","",D199-F199)</f>
        <v>6485.51119312477</v>
      </c>
      <c r="F199" s="11" t="n">
        <f aca="false">IF(D199="","",C199*EMI_MonthlyRate)</f>
        <v>2835.80068521045</v>
      </c>
      <c r="G199" s="11" t="n">
        <f aca="false">IF(D199="","",MAX(C199-E199,0))</f>
        <v>351720.891149248</v>
      </c>
    </row>
    <row r="200" customFormat="false" ht="15" hidden="false" customHeight="true" outlineLevel="0" collapsed="false">
      <c r="A200" s="14" t="n">
        <f aca="false">A199+1</f>
        <v>196</v>
      </c>
      <c r="B200" s="55" t="n">
        <f aca="false">IF(D200="","",EDATE(EMI_StartDate,A200))</f>
        <v>52182</v>
      </c>
      <c r="C200" s="15" t="n">
        <f aca="false">IF(D199="","",G199)</f>
        <v>351720.891149248</v>
      </c>
      <c r="D200" s="15" t="n">
        <f aca="false">IF(A200&gt;EMI_NPer,"",EMI_Payment)</f>
        <v>9321.31187833522</v>
      </c>
      <c r="E200" s="15" t="n">
        <f aca="false">IF(D200="","",D200-F200)</f>
        <v>6536.85482340367</v>
      </c>
      <c r="F200" s="15" t="n">
        <f aca="false">IF(D200="","",C200*EMI_MonthlyRate)</f>
        <v>2784.45705493155</v>
      </c>
      <c r="G200" s="15" t="n">
        <f aca="false">IF(D200="","",MAX(C200-E200,0))</f>
        <v>345184.036325844</v>
      </c>
    </row>
    <row r="201" customFormat="false" ht="15" hidden="false" customHeight="true" outlineLevel="0" collapsed="false">
      <c r="A201" s="10" t="n">
        <f aca="false">A200+1</f>
        <v>197</v>
      </c>
      <c r="B201" s="54" t="n">
        <f aca="false">IF(D201="","",EDATE(EMI_StartDate,A201))</f>
        <v>52212</v>
      </c>
      <c r="C201" s="11" t="n">
        <f aca="false">IF(D200="","",G200)</f>
        <v>345184.036325844</v>
      </c>
      <c r="D201" s="11" t="n">
        <f aca="false">IF(A201&gt;EMI_NPer,"",EMI_Payment)</f>
        <v>9321.31187833522</v>
      </c>
      <c r="E201" s="11" t="n">
        <f aca="false">IF(D201="","",D201-F201)</f>
        <v>6588.60492408895</v>
      </c>
      <c r="F201" s="11" t="n">
        <f aca="false">IF(D201="","",C201*EMI_MonthlyRate)</f>
        <v>2732.70695424627</v>
      </c>
      <c r="G201" s="11" t="n">
        <f aca="false">IF(D201="","",MAX(C201-E201,0))</f>
        <v>338595.431401755</v>
      </c>
    </row>
    <row r="202" customFormat="false" ht="15" hidden="false" customHeight="true" outlineLevel="0" collapsed="false">
      <c r="A202" s="14" t="n">
        <f aca="false">A201+1</f>
        <v>198</v>
      </c>
      <c r="B202" s="55" t="n">
        <f aca="false">IF(D202="","",EDATE(EMI_StartDate,A202))</f>
        <v>52243</v>
      </c>
      <c r="C202" s="15" t="n">
        <f aca="false">IF(D201="","",G201)</f>
        <v>338595.431401755</v>
      </c>
      <c r="D202" s="15" t="n">
        <f aca="false">IF(A202&gt;EMI_NPer,"",EMI_Payment)</f>
        <v>9321.31187833522</v>
      </c>
      <c r="E202" s="15" t="n">
        <f aca="false">IF(D202="","",D202-F202)</f>
        <v>6640.76471307132</v>
      </c>
      <c r="F202" s="15" t="n">
        <f aca="false">IF(D202="","",C202*EMI_MonthlyRate)</f>
        <v>2680.5471652639</v>
      </c>
      <c r="G202" s="15" t="n">
        <f aca="false">IF(D202="","",MAX(C202-E202,0))</f>
        <v>331954.666688684</v>
      </c>
    </row>
    <row r="203" customFormat="false" ht="15" hidden="false" customHeight="true" outlineLevel="0" collapsed="false">
      <c r="A203" s="10" t="n">
        <f aca="false">A202+1</f>
        <v>199</v>
      </c>
      <c r="B203" s="54" t="n">
        <f aca="false">IF(D203="","",EDATE(EMI_StartDate,A203))</f>
        <v>52274</v>
      </c>
      <c r="C203" s="11" t="n">
        <f aca="false">IF(D202="","",G202)</f>
        <v>331954.666688684</v>
      </c>
      <c r="D203" s="11" t="n">
        <f aca="false">IF(A203&gt;EMI_NPer,"",EMI_Payment)</f>
        <v>9321.31187833522</v>
      </c>
      <c r="E203" s="11" t="n">
        <f aca="false">IF(D203="","",D203-F203)</f>
        <v>6693.33743371647</v>
      </c>
      <c r="F203" s="11" t="n">
        <f aca="false">IF(D203="","",C203*EMI_MonthlyRate)</f>
        <v>2627.97444461875</v>
      </c>
      <c r="G203" s="11" t="n">
        <f aca="false">IF(D203="","",MAX(C203-E203,0))</f>
        <v>325261.329254967</v>
      </c>
    </row>
    <row r="204" customFormat="false" ht="15" hidden="false" customHeight="true" outlineLevel="0" collapsed="false">
      <c r="A204" s="14" t="n">
        <f aca="false">A203+1</f>
        <v>200</v>
      </c>
      <c r="B204" s="55" t="n">
        <f aca="false">IF(D204="","",EDATE(EMI_StartDate,A204))</f>
        <v>52302</v>
      </c>
      <c r="C204" s="15" t="n">
        <f aca="false">IF(D203="","",G203)</f>
        <v>325261.329254967</v>
      </c>
      <c r="D204" s="15" t="n">
        <f aca="false">IF(A204&gt;EMI_NPer,"",EMI_Payment)</f>
        <v>9321.31187833522</v>
      </c>
      <c r="E204" s="15" t="n">
        <f aca="false">IF(D204="","",D204-F204)</f>
        <v>6746.32635506673</v>
      </c>
      <c r="F204" s="15" t="n">
        <f aca="false">IF(D204="","",C204*EMI_MonthlyRate)</f>
        <v>2574.98552326849</v>
      </c>
      <c r="G204" s="15" t="n">
        <f aca="false">IF(D204="","",MAX(C204-E204,0))</f>
        <v>318515.002899901</v>
      </c>
    </row>
    <row r="205" customFormat="false" ht="15" hidden="false" customHeight="true" outlineLevel="0" collapsed="false">
      <c r="A205" s="10" t="n">
        <f aca="false">A204+1</f>
        <v>201</v>
      </c>
      <c r="B205" s="54" t="n">
        <f aca="false">IF(D205="","",EDATE(EMI_StartDate,A205))</f>
        <v>52333</v>
      </c>
      <c r="C205" s="11" t="n">
        <f aca="false">IF(D204="","",G204)</f>
        <v>318515.002899901</v>
      </c>
      <c r="D205" s="11" t="n">
        <f aca="false">IF(A205&gt;EMI_NPer,"",EMI_Payment)</f>
        <v>9321.31187833522</v>
      </c>
      <c r="E205" s="11" t="n">
        <f aca="false">IF(D205="","",D205-F205)</f>
        <v>6799.73477204434</v>
      </c>
      <c r="F205" s="11" t="n">
        <f aca="false">IF(D205="","",C205*EMI_MonthlyRate)</f>
        <v>2521.57710629088</v>
      </c>
      <c r="G205" s="11" t="n">
        <f aca="false">IF(D205="","",MAX(C205-E205,0))</f>
        <v>311715.268127856</v>
      </c>
    </row>
    <row r="206" customFormat="false" ht="15" hidden="false" customHeight="true" outlineLevel="0" collapsed="false">
      <c r="A206" s="14" t="n">
        <f aca="false">A205+1</f>
        <v>202</v>
      </c>
      <c r="B206" s="55" t="n">
        <f aca="false">IF(D206="","",EDATE(EMI_StartDate,A206))</f>
        <v>52363</v>
      </c>
      <c r="C206" s="15" t="n">
        <f aca="false">IF(D205="","",G205)</f>
        <v>311715.268127856</v>
      </c>
      <c r="D206" s="15" t="n">
        <f aca="false">IF(A206&gt;EMI_NPer,"",EMI_Payment)</f>
        <v>9321.31187833522</v>
      </c>
      <c r="E206" s="15" t="n">
        <f aca="false">IF(D206="","",D206-F206)</f>
        <v>6853.56600565636</v>
      </c>
      <c r="F206" s="15" t="n">
        <f aca="false">IF(D206="","",C206*EMI_MonthlyRate)</f>
        <v>2467.74587267886</v>
      </c>
      <c r="G206" s="15" t="n">
        <f aca="false">IF(D206="","",MAX(C206-E206,0))</f>
        <v>304861.7021222</v>
      </c>
    </row>
    <row r="207" customFormat="false" ht="15" hidden="false" customHeight="true" outlineLevel="0" collapsed="false">
      <c r="A207" s="10" t="n">
        <f aca="false">A206+1</f>
        <v>203</v>
      </c>
      <c r="B207" s="54" t="n">
        <f aca="false">IF(D207="","",EDATE(EMI_StartDate,A207))</f>
        <v>52394</v>
      </c>
      <c r="C207" s="11" t="n">
        <f aca="false">IF(D206="","",G206)</f>
        <v>304861.7021222</v>
      </c>
      <c r="D207" s="11" t="n">
        <f aca="false">IF(A207&gt;EMI_NPer,"",EMI_Payment)</f>
        <v>9321.31187833522</v>
      </c>
      <c r="E207" s="11" t="n">
        <f aca="false">IF(D207="","",D207-F207)</f>
        <v>6907.82340320114</v>
      </c>
      <c r="F207" s="11" t="n">
        <f aca="false">IF(D207="","",C207*EMI_MonthlyRate)</f>
        <v>2413.48847513408</v>
      </c>
      <c r="G207" s="11" t="n">
        <f aca="false">IF(D207="","",MAX(C207-E207,0))</f>
        <v>297953.878718999</v>
      </c>
    </row>
    <row r="208" customFormat="false" ht="15" hidden="false" customHeight="true" outlineLevel="0" collapsed="false">
      <c r="A208" s="14" t="n">
        <f aca="false">A207+1</f>
        <v>204</v>
      </c>
      <c r="B208" s="55" t="n">
        <f aca="false">IF(D208="","",EDATE(EMI_StartDate,A208))</f>
        <v>52424</v>
      </c>
      <c r="C208" s="15" t="n">
        <f aca="false">IF(D207="","",G207)</f>
        <v>297953.878718999</v>
      </c>
      <c r="D208" s="15" t="n">
        <f aca="false">IF(A208&gt;EMI_NPer,"",EMI_Payment)</f>
        <v>9321.31187833522</v>
      </c>
      <c r="E208" s="15" t="n">
        <f aca="false">IF(D208="","",D208-F208)</f>
        <v>6962.51033847648</v>
      </c>
      <c r="F208" s="15" t="n">
        <f aca="false">IF(D208="","",C208*EMI_MonthlyRate)</f>
        <v>2358.80153985874</v>
      </c>
      <c r="G208" s="15" t="n">
        <f aca="false">IF(D208="","",MAX(C208-E208,0))</f>
        <v>290991.368380522</v>
      </c>
    </row>
    <row r="209" customFormat="false" ht="15" hidden="false" customHeight="true" outlineLevel="0" collapsed="false">
      <c r="A209" s="10" t="n">
        <f aca="false">A208+1</f>
        <v>205</v>
      </c>
      <c r="B209" s="54" t="n">
        <f aca="false">IF(D209="","",EDATE(EMI_StartDate,A209))</f>
        <v>52455</v>
      </c>
      <c r="C209" s="11" t="n">
        <f aca="false">IF(D208="","",G208)</f>
        <v>290991.368380522</v>
      </c>
      <c r="D209" s="11" t="n">
        <f aca="false">IF(A209&gt;EMI_NPer,"",EMI_Payment)</f>
        <v>9321.31187833522</v>
      </c>
      <c r="E209" s="11" t="n">
        <f aca="false">IF(D209="","",D209-F209)</f>
        <v>7017.63021198942</v>
      </c>
      <c r="F209" s="11" t="n">
        <f aca="false">IF(D209="","",C209*EMI_MonthlyRate)</f>
        <v>2303.6816663458</v>
      </c>
      <c r="G209" s="11" t="n">
        <f aca="false">IF(D209="","",MAX(C209-E209,0))</f>
        <v>283973.738168533</v>
      </c>
    </row>
    <row r="210" customFormat="false" ht="15" hidden="false" customHeight="true" outlineLevel="0" collapsed="false">
      <c r="A210" s="14" t="n">
        <f aca="false">A209+1</f>
        <v>206</v>
      </c>
      <c r="B210" s="55" t="n">
        <f aca="false">IF(D210="","",EDATE(EMI_StartDate,A210))</f>
        <v>52486</v>
      </c>
      <c r="C210" s="15" t="n">
        <f aca="false">IF(D209="","",G209)</f>
        <v>283973.738168533</v>
      </c>
      <c r="D210" s="15" t="n">
        <f aca="false">IF(A210&gt;EMI_NPer,"",EMI_Payment)</f>
        <v>9321.31187833522</v>
      </c>
      <c r="E210" s="15" t="n">
        <f aca="false">IF(D210="","",D210-F210)</f>
        <v>7073.18645116767</v>
      </c>
      <c r="F210" s="15" t="n">
        <f aca="false">IF(D210="","",C210*EMI_MonthlyRate)</f>
        <v>2248.12542716755</v>
      </c>
      <c r="G210" s="15" t="n">
        <f aca="false">IF(D210="","",MAX(C210-E210,0))</f>
        <v>276900.551717365</v>
      </c>
    </row>
    <row r="211" customFormat="false" ht="15" hidden="false" customHeight="true" outlineLevel="0" collapsed="false">
      <c r="A211" s="10" t="n">
        <f aca="false">A210+1</f>
        <v>207</v>
      </c>
      <c r="B211" s="54" t="n">
        <f aca="false">IF(D211="","",EDATE(EMI_StartDate,A211))</f>
        <v>52516</v>
      </c>
      <c r="C211" s="11" t="n">
        <f aca="false">IF(D210="","",G210)</f>
        <v>276900.551717365</v>
      </c>
      <c r="D211" s="11" t="n">
        <f aca="false">IF(A211&gt;EMI_NPer,"",EMI_Payment)</f>
        <v>9321.31187833522</v>
      </c>
      <c r="E211" s="11" t="n">
        <f aca="false">IF(D211="","",D211-F211)</f>
        <v>7129.18251057274</v>
      </c>
      <c r="F211" s="11" t="n">
        <f aca="false">IF(D211="","",C211*EMI_MonthlyRate)</f>
        <v>2192.12936776248</v>
      </c>
      <c r="G211" s="11" t="n">
        <f aca="false">IF(D211="","",MAX(C211-E211,0))</f>
        <v>269771.369206793</v>
      </c>
    </row>
    <row r="212" customFormat="false" ht="15" hidden="false" customHeight="true" outlineLevel="0" collapsed="false">
      <c r="A212" s="14" t="n">
        <f aca="false">A211+1</f>
        <v>208</v>
      </c>
      <c r="B212" s="55" t="n">
        <f aca="false">IF(D212="","",EDATE(EMI_StartDate,A212))</f>
        <v>52547</v>
      </c>
      <c r="C212" s="15" t="n">
        <f aca="false">IF(D211="","",G211)</f>
        <v>269771.369206793</v>
      </c>
      <c r="D212" s="15" t="n">
        <f aca="false">IF(A212&gt;EMI_NPer,"",EMI_Payment)</f>
        <v>9321.31187833522</v>
      </c>
      <c r="E212" s="15" t="n">
        <f aca="false">IF(D212="","",D212-F212)</f>
        <v>7185.62187211478</v>
      </c>
      <c r="F212" s="15" t="n">
        <f aca="false">IF(D212="","",C212*EMI_MonthlyRate)</f>
        <v>2135.69000622044</v>
      </c>
      <c r="G212" s="15" t="n">
        <f aca="false">IF(D212="","",MAX(C212-E212,0))</f>
        <v>262585.747334678</v>
      </c>
    </row>
    <row r="213" customFormat="false" ht="15" hidden="false" customHeight="true" outlineLevel="0" collapsed="false">
      <c r="A213" s="10" t="n">
        <f aca="false">A212+1</f>
        <v>209</v>
      </c>
      <c r="B213" s="54" t="n">
        <f aca="false">IF(D213="","",EDATE(EMI_StartDate,A213))</f>
        <v>52577</v>
      </c>
      <c r="C213" s="11" t="n">
        <f aca="false">IF(D212="","",G212)</f>
        <v>262585.747334678</v>
      </c>
      <c r="D213" s="11" t="n">
        <f aca="false">IF(A213&gt;EMI_NPer,"",EMI_Payment)</f>
        <v>9321.31187833522</v>
      </c>
      <c r="E213" s="11" t="n">
        <f aca="false">IF(D213="","",D213-F213)</f>
        <v>7242.50804526902</v>
      </c>
      <c r="F213" s="11" t="n">
        <f aca="false">IF(D213="","",C213*EMI_MonthlyRate)</f>
        <v>2078.8038330662</v>
      </c>
      <c r="G213" s="11" t="n">
        <f aca="false">IF(D213="","",MAX(C213-E213,0))</f>
        <v>255343.239289409</v>
      </c>
    </row>
    <row r="214" customFormat="false" ht="15" hidden="false" customHeight="true" outlineLevel="0" collapsed="false">
      <c r="A214" s="14" t="n">
        <f aca="false">A213+1</f>
        <v>210</v>
      </c>
      <c r="B214" s="55" t="n">
        <f aca="false">IF(D214="","",EDATE(EMI_StartDate,A214))</f>
        <v>52608</v>
      </c>
      <c r="C214" s="15" t="n">
        <f aca="false">IF(D213="","",G213)</f>
        <v>255343.239289409</v>
      </c>
      <c r="D214" s="15" t="n">
        <f aca="false">IF(A214&gt;EMI_NPer,"",EMI_Payment)</f>
        <v>9321.31187833522</v>
      </c>
      <c r="E214" s="15" t="n">
        <f aca="false">IF(D214="","",D214-F214)</f>
        <v>7299.84456729407</v>
      </c>
      <c r="F214" s="15" t="n">
        <f aca="false">IF(D214="","",C214*EMI_MonthlyRate)</f>
        <v>2021.46731104115</v>
      </c>
      <c r="G214" s="15" t="n">
        <f aca="false">IF(D214="","",MAX(C214-E214,0))</f>
        <v>248043.394722115</v>
      </c>
    </row>
    <row r="215" customFormat="false" ht="15" hidden="false" customHeight="true" outlineLevel="0" collapsed="false">
      <c r="A215" s="10" t="n">
        <f aca="false">A214+1</f>
        <v>211</v>
      </c>
      <c r="B215" s="54" t="n">
        <f aca="false">IF(D215="","",EDATE(EMI_StartDate,A215))</f>
        <v>52639</v>
      </c>
      <c r="C215" s="11" t="n">
        <f aca="false">IF(D214="","",G214)</f>
        <v>248043.394722115</v>
      </c>
      <c r="D215" s="11" t="n">
        <f aca="false">IF(A215&gt;EMI_NPer,"",EMI_Payment)</f>
        <v>9321.31187833522</v>
      </c>
      <c r="E215" s="11" t="n">
        <f aca="false">IF(D215="","",D215-F215)</f>
        <v>7357.63500345181</v>
      </c>
      <c r="F215" s="11" t="n">
        <f aca="false">IF(D215="","",C215*EMI_MonthlyRate)</f>
        <v>1963.67687488341</v>
      </c>
      <c r="G215" s="11" t="n">
        <f aca="false">IF(D215="","",MAX(C215-E215,0))</f>
        <v>240685.759718663</v>
      </c>
    </row>
    <row r="216" customFormat="false" ht="15" hidden="false" customHeight="true" outlineLevel="0" collapsed="false">
      <c r="A216" s="14" t="n">
        <f aca="false">A215+1</f>
        <v>212</v>
      </c>
      <c r="B216" s="55" t="n">
        <f aca="false">IF(D216="","",EDATE(EMI_StartDate,A216))</f>
        <v>52668</v>
      </c>
      <c r="C216" s="15" t="n">
        <f aca="false">IF(D215="","",G215)</f>
        <v>240685.759718663</v>
      </c>
      <c r="D216" s="15" t="n">
        <f aca="false">IF(A216&gt;EMI_NPer,"",EMI_Payment)</f>
        <v>9321.31187833522</v>
      </c>
      <c r="E216" s="15" t="n">
        <f aca="false">IF(D216="","",D216-F216)</f>
        <v>7415.88294722914</v>
      </c>
      <c r="F216" s="15" t="n">
        <f aca="false">IF(D216="","",C216*EMI_MonthlyRate)</f>
        <v>1905.42893110608</v>
      </c>
      <c r="G216" s="15" t="n">
        <f aca="false">IF(D216="","",MAX(C216-E216,0))</f>
        <v>233269.876771434</v>
      </c>
    </row>
    <row r="217" customFormat="false" ht="15" hidden="false" customHeight="true" outlineLevel="0" collapsed="false">
      <c r="A217" s="10" t="n">
        <f aca="false">A216+1</f>
        <v>213</v>
      </c>
      <c r="B217" s="54" t="n">
        <f aca="false">IF(D217="","",EDATE(EMI_StartDate,A217))</f>
        <v>52699</v>
      </c>
      <c r="C217" s="11" t="n">
        <f aca="false">IF(D216="","",G216)</f>
        <v>233269.876771434</v>
      </c>
      <c r="D217" s="11" t="n">
        <f aca="false">IF(A217&gt;EMI_NPer,"",EMI_Payment)</f>
        <v>9321.31187833522</v>
      </c>
      <c r="E217" s="11" t="n">
        <f aca="false">IF(D217="","",D217-F217)</f>
        <v>7474.59202056137</v>
      </c>
      <c r="F217" s="11" t="n">
        <f aca="false">IF(D217="","",C217*EMI_MonthlyRate)</f>
        <v>1846.71985777385</v>
      </c>
      <c r="G217" s="11" t="n">
        <f aca="false">IF(D217="","",MAX(C217-E217,0))</f>
        <v>225795.284750872</v>
      </c>
    </row>
    <row r="218" customFormat="false" ht="15" hidden="false" customHeight="true" outlineLevel="0" collapsed="false">
      <c r="A218" s="14" t="n">
        <f aca="false">A217+1</f>
        <v>214</v>
      </c>
      <c r="B218" s="55" t="n">
        <f aca="false">IF(D218="","",EDATE(EMI_StartDate,A218))</f>
        <v>52729</v>
      </c>
      <c r="C218" s="15" t="n">
        <f aca="false">IF(D217="","",G217)</f>
        <v>225795.284750872</v>
      </c>
      <c r="D218" s="15" t="n">
        <f aca="false">IF(A218&gt;EMI_NPer,"",EMI_Payment)</f>
        <v>9321.31187833522</v>
      </c>
      <c r="E218" s="15" t="n">
        <f aca="false">IF(D218="","",D218-F218)</f>
        <v>7533.76587405748</v>
      </c>
      <c r="F218" s="15" t="n">
        <f aca="false">IF(D218="","",C218*EMI_MonthlyRate)</f>
        <v>1787.54600427774</v>
      </c>
      <c r="G218" s="15" t="n">
        <f aca="false">IF(D218="","",MAX(C218-E218,0))</f>
        <v>218261.518876815</v>
      </c>
    </row>
    <row r="219" customFormat="false" ht="15" hidden="false" customHeight="true" outlineLevel="0" collapsed="false">
      <c r="A219" s="10" t="n">
        <f aca="false">A218+1</f>
        <v>215</v>
      </c>
      <c r="B219" s="54" t="n">
        <f aca="false">IF(D219="","",EDATE(EMI_StartDate,A219))</f>
        <v>52760</v>
      </c>
      <c r="C219" s="11" t="n">
        <f aca="false">IF(D218="","",G218)</f>
        <v>218261.518876815</v>
      </c>
      <c r="D219" s="11" t="n">
        <f aca="false">IF(A219&gt;EMI_NPer,"",EMI_Payment)</f>
        <v>9321.31187833522</v>
      </c>
      <c r="E219" s="11" t="n">
        <f aca="false">IF(D219="","",D219-F219)</f>
        <v>7593.4081872271</v>
      </c>
      <c r="F219" s="11" t="n">
        <f aca="false">IF(D219="","",C219*EMI_MonthlyRate)</f>
        <v>1727.90369110812</v>
      </c>
      <c r="G219" s="11" t="n">
        <f aca="false">IF(D219="","",MAX(C219-E219,0))</f>
        <v>210668.110689588</v>
      </c>
    </row>
    <row r="220" customFormat="false" ht="15" hidden="false" customHeight="true" outlineLevel="0" collapsed="false">
      <c r="A220" s="14" t="n">
        <f aca="false">A219+1</f>
        <v>216</v>
      </c>
      <c r="B220" s="55" t="n">
        <f aca="false">IF(D220="","",EDATE(EMI_StartDate,A220))</f>
        <v>52790</v>
      </c>
      <c r="C220" s="15" t="n">
        <f aca="false">IF(D219="","",G219)</f>
        <v>210668.110689588</v>
      </c>
      <c r="D220" s="15" t="n">
        <f aca="false">IF(A220&gt;EMI_NPer,"",EMI_Payment)</f>
        <v>9321.31187833522</v>
      </c>
      <c r="E220" s="15" t="n">
        <f aca="false">IF(D220="","",D220-F220)</f>
        <v>7653.52266870931</v>
      </c>
      <c r="F220" s="15" t="n">
        <f aca="false">IF(D220="","",C220*EMI_MonthlyRate)</f>
        <v>1667.7892096259</v>
      </c>
      <c r="G220" s="15" t="n">
        <f aca="false">IF(D220="","",MAX(C220-E220,0))</f>
        <v>203014.588020879</v>
      </c>
    </row>
    <row r="221" customFormat="false" ht="15" hidden="false" customHeight="true" outlineLevel="0" collapsed="false">
      <c r="A221" s="10" t="n">
        <f aca="false">A220+1</f>
        <v>217</v>
      </c>
      <c r="B221" s="54" t="n">
        <f aca="false">IF(D221="","",EDATE(EMI_StartDate,A221))</f>
        <v>52821</v>
      </c>
      <c r="C221" s="11" t="n">
        <f aca="false">IF(D220="","",G220)</f>
        <v>203014.588020879</v>
      </c>
      <c r="D221" s="11" t="n">
        <f aca="false">IF(A221&gt;EMI_NPer,"",EMI_Payment)</f>
        <v>9321.31187833522</v>
      </c>
      <c r="E221" s="11" t="n">
        <f aca="false">IF(D221="","",D221-F221)</f>
        <v>7714.11305650326</v>
      </c>
      <c r="F221" s="11" t="n">
        <f aca="false">IF(D221="","",C221*EMI_MonthlyRate)</f>
        <v>1607.19882183195</v>
      </c>
      <c r="G221" s="11" t="n">
        <f aca="false">IF(D221="","",MAX(C221-E221,0))</f>
        <v>195300.474964375</v>
      </c>
    </row>
    <row r="222" customFormat="false" ht="15" hidden="false" customHeight="true" outlineLevel="0" collapsed="false">
      <c r="A222" s="14" t="n">
        <f aca="false">A221+1</f>
        <v>218</v>
      </c>
      <c r="B222" s="55" t="n">
        <f aca="false">IF(D222="","",EDATE(EMI_StartDate,A222))</f>
        <v>52852</v>
      </c>
      <c r="C222" s="15" t="n">
        <f aca="false">IF(D221="","",G221)</f>
        <v>195300.474964375</v>
      </c>
      <c r="D222" s="15" t="n">
        <f aca="false">IF(A222&gt;EMI_NPer,"",EMI_Payment)</f>
        <v>9321.31187833522</v>
      </c>
      <c r="E222" s="15" t="n">
        <f aca="false">IF(D222="","",D222-F222)</f>
        <v>7775.18311820058</v>
      </c>
      <c r="F222" s="15" t="n">
        <f aca="false">IF(D222="","",C222*EMI_MonthlyRate)</f>
        <v>1546.12876013464</v>
      </c>
      <c r="G222" s="15" t="n">
        <f aca="false">IF(D222="","",MAX(C222-E222,0))</f>
        <v>187525.291846175</v>
      </c>
    </row>
    <row r="223" customFormat="false" ht="15" hidden="false" customHeight="true" outlineLevel="0" collapsed="false">
      <c r="A223" s="10" t="n">
        <f aca="false">A222+1</f>
        <v>219</v>
      </c>
      <c r="B223" s="54" t="n">
        <f aca="false">IF(D223="","",EDATE(EMI_StartDate,A223))</f>
        <v>52882</v>
      </c>
      <c r="C223" s="11" t="n">
        <f aca="false">IF(D222="","",G222)</f>
        <v>187525.291846175</v>
      </c>
      <c r="D223" s="11" t="n">
        <f aca="false">IF(A223&gt;EMI_NPer,"",EMI_Payment)</f>
        <v>9321.31187833522</v>
      </c>
      <c r="E223" s="11" t="n">
        <f aca="false">IF(D223="","",D223-F223)</f>
        <v>7836.73665121967</v>
      </c>
      <c r="F223" s="11" t="n">
        <f aca="false">IF(D223="","",C223*EMI_MonthlyRate)</f>
        <v>1484.57522711555</v>
      </c>
      <c r="G223" s="11" t="n">
        <f aca="false">IF(D223="","",MAX(C223-E223,0))</f>
        <v>179688.555194955</v>
      </c>
    </row>
    <row r="224" customFormat="false" ht="15" hidden="false" customHeight="true" outlineLevel="0" collapsed="false">
      <c r="A224" s="14" t="n">
        <f aca="false">A223+1</f>
        <v>220</v>
      </c>
      <c r="B224" s="55" t="n">
        <f aca="false">IF(D224="","",EDATE(EMI_StartDate,A224))</f>
        <v>52913</v>
      </c>
      <c r="C224" s="15" t="n">
        <f aca="false">IF(D223="","",G223)</f>
        <v>179688.555194955</v>
      </c>
      <c r="D224" s="15" t="n">
        <f aca="false">IF(A224&gt;EMI_NPer,"",EMI_Payment)</f>
        <v>9321.31187833522</v>
      </c>
      <c r="E224" s="15" t="n">
        <f aca="false">IF(D224="","",D224-F224)</f>
        <v>7898.77748304183</v>
      </c>
      <c r="F224" s="15" t="n">
        <f aca="false">IF(D224="","",C224*EMI_MonthlyRate)</f>
        <v>1422.53439529339</v>
      </c>
      <c r="G224" s="15" t="n">
        <f aca="false">IF(D224="","",MAX(C224-E224,0))</f>
        <v>171789.777711913</v>
      </c>
    </row>
    <row r="225" customFormat="false" ht="15" hidden="false" customHeight="true" outlineLevel="0" collapsed="false">
      <c r="A225" s="10" t="n">
        <f aca="false">A224+1</f>
        <v>221</v>
      </c>
      <c r="B225" s="54" t="n">
        <f aca="false">IF(D225="","",EDATE(EMI_StartDate,A225))</f>
        <v>52943</v>
      </c>
      <c r="C225" s="11" t="n">
        <f aca="false">IF(D224="","",G224)</f>
        <v>171789.777711913</v>
      </c>
      <c r="D225" s="11" t="n">
        <f aca="false">IF(A225&gt;EMI_NPer,"",EMI_Payment)</f>
        <v>9321.31187833522</v>
      </c>
      <c r="E225" s="11" t="n">
        <f aca="false">IF(D225="","",D225-F225)</f>
        <v>7961.30947144924</v>
      </c>
      <c r="F225" s="11" t="n">
        <f aca="false">IF(D225="","",C225*EMI_MonthlyRate)</f>
        <v>1360.00240688598</v>
      </c>
      <c r="G225" s="11" t="n">
        <f aca="false">IF(D225="","",MAX(C225-E225,0))</f>
        <v>163828.468240464</v>
      </c>
    </row>
    <row r="226" customFormat="false" ht="15" hidden="false" customHeight="true" outlineLevel="0" collapsed="false">
      <c r="A226" s="14" t="n">
        <f aca="false">A225+1</f>
        <v>222</v>
      </c>
      <c r="B226" s="55" t="n">
        <f aca="false">IF(D226="","",EDATE(EMI_StartDate,A226))</f>
        <v>52974</v>
      </c>
      <c r="C226" s="15" t="n">
        <f aca="false">IF(D225="","",G225)</f>
        <v>163828.468240464</v>
      </c>
      <c r="D226" s="15" t="n">
        <f aca="false">IF(A226&gt;EMI_NPer,"",EMI_Payment)</f>
        <v>9321.31187833522</v>
      </c>
      <c r="E226" s="15" t="n">
        <f aca="false">IF(D226="","",D226-F226)</f>
        <v>8024.33650476488</v>
      </c>
      <c r="F226" s="15" t="n">
        <f aca="false">IF(D226="","",C226*EMI_MonthlyRate)</f>
        <v>1296.97537357034</v>
      </c>
      <c r="G226" s="15" t="n">
        <f aca="false">IF(D226="","",MAX(C226-E226,0))</f>
        <v>155804.131735699</v>
      </c>
    </row>
    <row r="227" customFormat="false" ht="15" hidden="false" customHeight="true" outlineLevel="0" collapsed="false">
      <c r="A227" s="10" t="n">
        <f aca="false">A226+1</f>
        <v>223</v>
      </c>
      <c r="B227" s="54" t="n">
        <f aca="false">IF(D227="","",EDATE(EMI_StartDate,A227))</f>
        <v>53005</v>
      </c>
      <c r="C227" s="11" t="n">
        <f aca="false">IF(D226="","",G226)</f>
        <v>155804.131735699</v>
      </c>
      <c r="D227" s="11" t="n">
        <f aca="false">IF(A227&gt;EMI_NPer,"",EMI_Payment)</f>
        <v>9321.31187833522</v>
      </c>
      <c r="E227" s="11" t="n">
        <f aca="false">IF(D227="","",D227-F227)</f>
        <v>8087.86250209427</v>
      </c>
      <c r="F227" s="11" t="n">
        <f aca="false">IF(D227="","",C227*EMI_MonthlyRate)</f>
        <v>1233.44937624095</v>
      </c>
      <c r="G227" s="11" t="n">
        <f aca="false">IF(D227="","",MAX(C227-E227,0))</f>
        <v>147716.269233605</v>
      </c>
    </row>
    <row r="228" customFormat="false" ht="15" hidden="false" customHeight="true" outlineLevel="0" collapsed="false">
      <c r="A228" s="14" t="n">
        <f aca="false">A227+1</f>
        <v>224</v>
      </c>
      <c r="B228" s="55" t="n">
        <f aca="false">IF(D228="","",EDATE(EMI_StartDate,A228))</f>
        <v>53033</v>
      </c>
      <c r="C228" s="15" t="n">
        <f aca="false">IF(D227="","",G227)</f>
        <v>147716.269233605</v>
      </c>
      <c r="D228" s="15" t="n">
        <f aca="false">IF(A228&gt;EMI_NPer,"",EMI_Payment)</f>
        <v>9321.31187833522</v>
      </c>
      <c r="E228" s="15" t="n">
        <f aca="false">IF(D228="","",D228-F228)</f>
        <v>8151.89141356918</v>
      </c>
      <c r="F228" s="15" t="n">
        <f aca="false">IF(D228="","",C228*EMI_MonthlyRate)</f>
        <v>1169.42046476604</v>
      </c>
      <c r="G228" s="15" t="n">
        <f aca="false">IF(D228="","",MAX(C228-E228,0))</f>
        <v>139564.377820036</v>
      </c>
    </row>
    <row r="229" customFormat="false" ht="15" hidden="false" customHeight="true" outlineLevel="0" collapsed="false">
      <c r="A229" s="10" t="n">
        <f aca="false">A228+1</f>
        <v>225</v>
      </c>
      <c r="B229" s="54" t="n">
        <f aca="false">IF(D229="","",EDATE(EMI_StartDate,A229))</f>
        <v>53064</v>
      </c>
      <c r="C229" s="11" t="n">
        <f aca="false">IF(D228="","",G228)</f>
        <v>139564.377820036</v>
      </c>
      <c r="D229" s="11" t="n">
        <f aca="false">IF(A229&gt;EMI_NPer,"",EMI_Payment)</f>
        <v>9321.31187833522</v>
      </c>
      <c r="E229" s="11" t="n">
        <f aca="false">IF(D229="","",D229-F229)</f>
        <v>8216.42722059327</v>
      </c>
      <c r="F229" s="11" t="n">
        <f aca="false">IF(D229="","",C229*EMI_MonthlyRate)</f>
        <v>1104.88465774195</v>
      </c>
      <c r="G229" s="11" t="n">
        <f aca="false">IF(D229="","",MAX(C229-E229,0))</f>
        <v>131347.950599442</v>
      </c>
    </row>
    <row r="230" customFormat="false" ht="15" hidden="false" customHeight="true" outlineLevel="0" collapsed="false">
      <c r="A230" s="14" t="n">
        <f aca="false">A229+1</f>
        <v>226</v>
      </c>
      <c r="B230" s="55" t="n">
        <f aca="false">IF(D230="","",EDATE(EMI_StartDate,A230))</f>
        <v>53094</v>
      </c>
      <c r="C230" s="15" t="n">
        <f aca="false">IF(D229="","",G229)</f>
        <v>131347.950599442</v>
      </c>
      <c r="D230" s="15" t="n">
        <f aca="false">IF(A230&gt;EMI_NPer,"",EMI_Payment)</f>
        <v>9321.31187833522</v>
      </c>
      <c r="E230" s="15" t="n">
        <f aca="false">IF(D230="","",D230-F230)</f>
        <v>8281.47393608963</v>
      </c>
      <c r="F230" s="15" t="n">
        <f aca="false">IF(D230="","",C230*EMI_MonthlyRate)</f>
        <v>1039.83794224559</v>
      </c>
      <c r="G230" s="15" t="n">
        <f aca="false">IF(D230="","",MAX(C230-E230,0))</f>
        <v>123066.476663353</v>
      </c>
    </row>
    <row r="231" customFormat="false" ht="15" hidden="false" customHeight="true" outlineLevel="0" collapsed="false">
      <c r="A231" s="10" t="n">
        <f aca="false">A230+1</f>
        <v>227</v>
      </c>
      <c r="B231" s="54" t="n">
        <f aca="false">IF(D231="","",EDATE(EMI_StartDate,A231))</f>
        <v>53125</v>
      </c>
      <c r="C231" s="11" t="n">
        <f aca="false">IF(D230="","",G230)</f>
        <v>123066.476663353</v>
      </c>
      <c r="D231" s="11" t="n">
        <f aca="false">IF(A231&gt;EMI_NPer,"",EMI_Payment)</f>
        <v>9321.31187833522</v>
      </c>
      <c r="E231" s="11" t="n">
        <f aca="false">IF(D231="","",D231-F231)</f>
        <v>8347.03560475034</v>
      </c>
      <c r="F231" s="11" t="n">
        <f aca="false">IF(D231="","",C231*EMI_MonthlyRate)</f>
        <v>974.276273584876</v>
      </c>
      <c r="G231" s="11" t="n">
        <f aca="false">IF(D231="","",MAX(C231-E231,0))</f>
        <v>114719.441058602</v>
      </c>
    </row>
    <row r="232" customFormat="false" ht="15" hidden="false" customHeight="true" outlineLevel="0" collapsed="false">
      <c r="A232" s="14" t="n">
        <f aca="false">A231+1</f>
        <v>228</v>
      </c>
      <c r="B232" s="55" t="n">
        <f aca="false">IF(D232="","",EDATE(EMI_StartDate,A232))</f>
        <v>53155</v>
      </c>
      <c r="C232" s="15" t="n">
        <f aca="false">IF(D231="","",G231)</f>
        <v>114719.441058602</v>
      </c>
      <c r="D232" s="15" t="n">
        <f aca="false">IF(A232&gt;EMI_NPer,"",EMI_Payment)</f>
        <v>9321.31187833522</v>
      </c>
      <c r="E232" s="15" t="n">
        <f aca="false">IF(D232="","",D232-F232)</f>
        <v>8413.11630328795</v>
      </c>
      <c r="F232" s="15" t="n">
        <f aca="false">IF(D232="","",C232*EMI_MonthlyRate)</f>
        <v>908.195575047269</v>
      </c>
      <c r="G232" s="15" t="n">
        <f aca="false">IF(D232="","",MAX(C232-E232,0))</f>
        <v>106306.324755314</v>
      </c>
    </row>
    <row r="233" customFormat="false" ht="15" hidden="false" customHeight="true" outlineLevel="0" collapsed="false">
      <c r="A233" s="10" t="n">
        <f aca="false">A232+1</f>
        <v>229</v>
      </c>
      <c r="B233" s="54" t="n">
        <f aca="false">IF(D233="","",EDATE(EMI_StartDate,A233))</f>
        <v>53186</v>
      </c>
      <c r="C233" s="11" t="n">
        <f aca="false">IF(D232="","",G232)</f>
        <v>106306.324755314</v>
      </c>
      <c r="D233" s="11" t="n">
        <f aca="false">IF(A233&gt;EMI_NPer,"",EMI_Payment)</f>
        <v>9321.31187833522</v>
      </c>
      <c r="E233" s="11" t="n">
        <f aca="false">IF(D233="","",D233-F233)</f>
        <v>8479.72014068898</v>
      </c>
      <c r="F233" s="11" t="n">
        <f aca="false">IF(D233="","",C233*EMI_MonthlyRate)</f>
        <v>841.591737646239</v>
      </c>
      <c r="G233" s="11" t="n">
        <f aca="false">IF(D233="","",MAX(C233-E233,0))</f>
        <v>97826.6046146254</v>
      </c>
    </row>
    <row r="234" customFormat="false" ht="15" hidden="false" customHeight="true" outlineLevel="0" collapsed="false">
      <c r="A234" s="14" t="n">
        <f aca="false">A233+1</f>
        <v>230</v>
      </c>
      <c r="B234" s="55" t="n">
        <f aca="false">IF(D234="","",EDATE(EMI_StartDate,A234))</f>
        <v>53217</v>
      </c>
      <c r="C234" s="15" t="n">
        <f aca="false">IF(D233="","",G233)</f>
        <v>97826.6046146254</v>
      </c>
      <c r="D234" s="15" t="n">
        <f aca="false">IF(A234&gt;EMI_NPer,"",EMI_Payment)</f>
        <v>9321.31187833522</v>
      </c>
      <c r="E234" s="15" t="n">
        <f aca="false">IF(D234="","",D234-F234)</f>
        <v>8546.85125846943</v>
      </c>
      <c r="F234" s="15" t="n">
        <f aca="false">IF(D234="","",C234*EMI_MonthlyRate)</f>
        <v>774.460619865785</v>
      </c>
      <c r="G234" s="15" t="n">
        <f aca="false">IF(D234="","",MAX(C234-E234,0))</f>
        <v>89279.753356156</v>
      </c>
    </row>
    <row r="235" customFormat="false" ht="15" hidden="false" customHeight="true" outlineLevel="0" collapsed="false">
      <c r="A235" s="10" t="n">
        <f aca="false">A234+1</f>
        <v>231</v>
      </c>
      <c r="B235" s="54" t="n">
        <f aca="false">IF(D235="","",EDATE(EMI_StartDate,A235))</f>
        <v>53247</v>
      </c>
      <c r="C235" s="11" t="n">
        <f aca="false">IF(D234="","",G234)</f>
        <v>89279.753356156</v>
      </c>
      <c r="D235" s="11" t="n">
        <f aca="false">IF(A235&gt;EMI_NPer,"",EMI_Payment)</f>
        <v>9321.31187833522</v>
      </c>
      <c r="E235" s="11" t="n">
        <f aca="false">IF(D235="","",D235-F235)</f>
        <v>8614.51383093232</v>
      </c>
      <c r="F235" s="11" t="n">
        <f aca="false">IF(D235="","",C235*EMI_MonthlyRate)</f>
        <v>706.798047402902</v>
      </c>
      <c r="G235" s="11" t="n">
        <f aca="false">IF(D235="","",MAX(C235-E235,0))</f>
        <v>80665.2395252237</v>
      </c>
    </row>
    <row r="236" customFormat="false" ht="15" hidden="false" customHeight="true" outlineLevel="0" collapsed="false">
      <c r="A236" s="14" t="n">
        <f aca="false">A235+1</f>
        <v>232</v>
      </c>
      <c r="B236" s="55" t="n">
        <f aca="false">IF(D236="","",EDATE(EMI_StartDate,A236))</f>
        <v>53278</v>
      </c>
      <c r="C236" s="15" t="n">
        <f aca="false">IF(D235="","",G235)</f>
        <v>80665.2395252237</v>
      </c>
      <c r="D236" s="15" t="n">
        <f aca="false">IF(A236&gt;EMI_NPer,"",EMI_Payment)</f>
        <v>9321.31187833522</v>
      </c>
      <c r="E236" s="15" t="n">
        <f aca="false">IF(D236="","",D236-F236)</f>
        <v>8682.7120654272</v>
      </c>
      <c r="F236" s="15" t="n">
        <f aca="false">IF(D236="","",C236*EMI_MonthlyRate)</f>
        <v>638.599812908021</v>
      </c>
      <c r="G236" s="15" t="n">
        <f aca="false">IF(D236="","",MAX(C236-E236,0))</f>
        <v>71982.5274597965</v>
      </c>
    </row>
    <row r="237" customFormat="false" ht="15" hidden="false" customHeight="true" outlineLevel="0" collapsed="false">
      <c r="A237" s="10" t="n">
        <f aca="false">A236+1</f>
        <v>233</v>
      </c>
      <c r="B237" s="54" t="n">
        <f aca="false">IF(D237="","",EDATE(EMI_StartDate,A237))</f>
        <v>53308</v>
      </c>
      <c r="C237" s="11" t="n">
        <f aca="false">IF(D236="","",G236)</f>
        <v>71982.5274597965</v>
      </c>
      <c r="D237" s="11" t="n">
        <f aca="false">IF(A237&gt;EMI_NPer,"",EMI_Payment)</f>
        <v>9321.31187833522</v>
      </c>
      <c r="E237" s="11" t="n">
        <f aca="false">IF(D237="","",D237-F237)</f>
        <v>8751.45020261183</v>
      </c>
      <c r="F237" s="11" t="n">
        <f aca="false">IF(D237="","",C237*EMI_MonthlyRate)</f>
        <v>569.861675723389</v>
      </c>
      <c r="G237" s="11" t="n">
        <f aca="false">IF(D237="","",MAX(C237-E237,0))</f>
        <v>63231.0772571846</v>
      </c>
    </row>
    <row r="238" customFormat="false" ht="15" hidden="false" customHeight="true" outlineLevel="0" collapsed="false">
      <c r="A238" s="14" t="n">
        <f aca="false">A237+1</f>
        <v>234</v>
      </c>
      <c r="B238" s="55" t="n">
        <f aca="false">IF(D238="","",EDATE(EMI_StartDate,A238))</f>
        <v>53339</v>
      </c>
      <c r="C238" s="15" t="n">
        <f aca="false">IF(D237="","",G237)</f>
        <v>63231.0772571846</v>
      </c>
      <c r="D238" s="15" t="n">
        <f aca="false">IF(A238&gt;EMI_NPer,"",EMI_Payment)</f>
        <v>9321.31187833522</v>
      </c>
      <c r="E238" s="15" t="n">
        <f aca="false">IF(D238="","",D238-F238)</f>
        <v>8820.73251671584</v>
      </c>
      <c r="F238" s="15" t="n">
        <f aca="false">IF(D238="","",C238*EMI_MonthlyRate)</f>
        <v>500.579361619378</v>
      </c>
      <c r="G238" s="15" t="n">
        <f aca="false">IF(D238="","",MAX(C238-E238,0))</f>
        <v>54410.3447404688</v>
      </c>
    </row>
    <row r="239" customFormat="false" ht="15" hidden="false" customHeight="true" outlineLevel="0" collapsed="false">
      <c r="A239" s="10" t="n">
        <f aca="false">A238+1</f>
        <v>235</v>
      </c>
      <c r="B239" s="54" t="n">
        <f aca="false">IF(D239="","",EDATE(EMI_StartDate,A239))</f>
        <v>53370</v>
      </c>
      <c r="C239" s="11" t="n">
        <f aca="false">IF(D238="","",G238)</f>
        <v>54410.3447404688</v>
      </c>
      <c r="D239" s="11" t="n">
        <f aca="false">IF(A239&gt;EMI_NPer,"",EMI_Payment)</f>
        <v>9321.31187833522</v>
      </c>
      <c r="E239" s="11" t="n">
        <f aca="false">IF(D239="","",D239-F239)</f>
        <v>8890.56331580651</v>
      </c>
      <c r="F239" s="11" t="n">
        <f aca="false">IF(D239="","",C239*EMI_MonthlyRate)</f>
        <v>430.748562528711</v>
      </c>
      <c r="G239" s="11" t="n">
        <f aca="false">IF(D239="","",MAX(C239-E239,0))</f>
        <v>45519.7814246623</v>
      </c>
    </row>
    <row r="240" customFormat="false" ht="15" hidden="false" customHeight="true" outlineLevel="0" collapsed="false">
      <c r="A240" s="14" t="n">
        <f aca="false">A239+1</f>
        <v>236</v>
      </c>
      <c r="B240" s="55" t="n">
        <f aca="false">IF(D240="","",EDATE(EMI_StartDate,A240))</f>
        <v>53398</v>
      </c>
      <c r="C240" s="15" t="n">
        <f aca="false">IF(D239="","",G239)</f>
        <v>45519.7814246623</v>
      </c>
      <c r="D240" s="15" t="n">
        <f aca="false">IF(A240&gt;EMI_NPer,"",EMI_Payment)</f>
        <v>9321.31187833522</v>
      </c>
      <c r="E240" s="15" t="n">
        <f aca="false">IF(D240="","",D240-F240)</f>
        <v>8960.94694205664</v>
      </c>
      <c r="F240" s="15" t="n">
        <f aca="false">IF(D240="","",C240*EMI_MonthlyRate)</f>
        <v>360.364936278576</v>
      </c>
      <c r="G240" s="15" t="n">
        <f aca="false">IF(D240="","",MAX(C240-E240,0))</f>
        <v>36558.8344826056</v>
      </c>
    </row>
    <row r="241" customFormat="false" ht="15" hidden="false" customHeight="true" outlineLevel="0" collapsed="false">
      <c r="A241" s="10" t="n">
        <f aca="false">A240+1</f>
        <v>237</v>
      </c>
      <c r="B241" s="54" t="n">
        <f aca="false">IF(D241="","",EDATE(EMI_StartDate,A241))</f>
        <v>53429</v>
      </c>
      <c r="C241" s="11" t="n">
        <f aca="false">IF(D240="","",G240)</f>
        <v>36558.8344826056</v>
      </c>
      <c r="D241" s="11" t="n">
        <f aca="false">IF(A241&gt;EMI_NPer,"",EMI_Payment)</f>
        <v>9321.31187833522</v>
      </c>
      <c r="E241" s="11" t="n">
        <f aca="false">IF(D241="","",D241-F241)</f>
        <v>9031.88777201459</v>
      </c>
      <c r="F241" s="11" t="n">
        <f aca="false">IF(D241="","",C241*EMI_MonthlyRate)</f>
        <v>289.424106320628</v>
      </c>
      <c r="G241" s="11" t="n">
        <f aca="false">IF(D241="","",MAX(C241-E241,0))</f>
        <v>27526.946710591</v>
      </c>
    </row>
    <row r="242" customFormat="false" ht="15" hidden="false" customHeight="true" outlineLevel="0" collapsed="false">
      <c r="A242" s="14" t="n">
        <f aca="false">A241+1</f>
        <v>238</v>
      </c>
      <c r="B242" s="55" t="n">
        <f aca="false">IF(D242="","",EDATE(EMI_StartDate,A242))</f>
        <v>53459</v>
      </c>
      <c r="C242" s="15" t="n">
        <f aca="false">IF(D241="","",G241)</f>
        <v>27526.946710591</v>
      </c>
      <c r="D242" s="15" t="n">
        <f aca="false">IF(A242&gt;EMI_NPer,"",EMI_Payment)</f>
        <v>9321.31187833522</v>
      </c>
      <c r="E242" s="15" t="n">
        <f aca="false">IF(D242="","",D242-F242)</f>
        <v>9103.39021687637</v>
      </c>
      <c r="F242" s="15" t="n">
        <f aca="false">IF(D242="","",C242*EMI_MonthlyRate)</f>
        <v>217.921661458846</v>
      </c>
      <c r="G242" s="15" t="n">
        <f aca="false">IF(D242="","",MAX(C242-E242,0))</f>
        <v>18423.5564937147</v>
      </c>
    </row>
    <row r="243" customFormat="false" ht="15" hidden="false" customHeight="true" outlineLevel="0" collapsed="false">
      <c r="A243" s="10" t="n">
        <f aca="false">A242+1</f>
        <v>239</v>
      </c>
      <c r="B243" s="54" t="n">
        <f aca="false">IF(D243="","",EDATE(EMI_StartDate,A243))</f>
        <v>53490</v>
      </c>
      <c r="C243" s="11" t="n">
        <f aca="false">IF(D242="","",G242)</f>
        <v>18423.5564937147</v>
      </c>
      <c r="D243" s="11" t="n">
        <f aca="false">IF(A243&gt;EMI_NPer,"",EMI_Payment)</f>
        <v>9321.31187833522</v>
      </c>
      <c r="E243" s="11" t="n">
        <f aca="false">IF(D243="","",D243-F243)</f>
        <v>9175.45872275998</v>
      </c>
      <c r="F243" s="11" t="n">
        <f aca="false">IF(D243="","",C243*EMI_MonthlyRate)</f>
        <v>145.853155575241</v>
      </c>
      <c r="G243" s="11" t="n">
        <f aca="false">IF(D243="","",MAX(C243-E243,0))</f>
        <v>9248.09777095469</v>
      </c>
    </row>
    <row r="244" customFormat="false" ht="15" hidden="false" customHeight="true" outlineLevel="0" collapsed="false">
      <c r="A244" s="14" t="n">
        <f aca="false">A243+1</f>
        <v>240</v>
      </c>
      <c r="B244" s="55" t="n">
        <f aca="false">IF(D244="","",EDATE(EMI_StartDate,A244))</f>
        <v>53520</v>
      </c>
      <c r="C244" s="15" t="n">
        <f aca="false">IF(D243="","",G243)</f>
        <v>9248.09777095469</v>
      </c>
      <c r="D244" s="15" t="n">
        <f aca="false">IF(A244&gt;EMI_NPer,"",EMI_Payment)</f>
        <v>9321.31187833522</v>
      </c>
      <c r="E244" s="15" t="n">
        <f aca="false">IF(D244="","",D244-F244)</f>
        <v>9248.09777098183</v>
      </c>
      <c r="F244" s="15" t="n">
        <f aca="false">IF(D244="","",C244*EMI_MonthlyRate)</f>
        <v>73.2141073533913</v>
      </c>
      <c r="G244" s="15" t="n">
        <f aca="false">IF(D244="","",MAX(C244-E244,0))</f>
        <v>0</v>
      </c>
    </row>
    <row r="245" customFormat="false" ht="15" hidden="false" customHeight="true" outlineLevel="0" collapsed="false">
      <c r="A245" s="10" t="n">
        <f aca="false">A244+1</f>
        <v>241</v>
      </c>
      <c r="B245" s="54" t="str">
        <f aca="false">IF(D245="","",EDATE(EMI_StartDate,A245))</f>
        <v/>
      </c>
      <c r="C245" s="11" t="n">
        <f aca="false">IF(D244="","",G244)</f>
        <v>0</v>
      </c>
      <c r="D245" s="11" t="str">
        <f aca="false">IF(A245&gt;EMI_NPer,"",EMI_Payment)</f>
        <v/>
      </c>
      <c r="E245" s="11" t="str">
        <f aca="false">IF(D245="","",D245-F245)</f>
        <v/>
      </c>
      <c r="F245" s="11" t="str">
        <f aca="false">IF(D245="","",C245*EMI_MonthlyRate)</f>
        <v/>
      </c>
      <c r="G245" s="11" t="str">
        <f aca="false">IF(D245="","",MAX(C245-E245,0))</f>
        <v/>
      </c>
    </row>
    <row r="246" customFormat="false" ht="15" hidden="false" customHeight="true" outlineLevel="0" collapsed="false">
      <c r="A246" s="14" t="n">
        <f aca="false">A245+1</f>
        <v>242</v>
      </c>
      <c r="B246" s="55" t="str">
        <f aca="false">IF(D246="","",EDATE(EMI_StartDate,A246))</f>
        <v/>
      </c>
      <c r="C246" s="15" t="str">
        <f aca="false">IF(D245="","",G245)</f>
        <v/>
      </c>
      <c r="D246" s="15" t="str">
        <f aca="false">IF(A246&gt;EMI_NPer,"",EMI_Payment)</f>
        <v/>
      </c>
      <c r="E246" s="15" t="str">
        <f aca="false">IF(D246="","",D246-F246)</f>
        <v/>
      </c>
      <c r="F246" s="15" t="str">
        <f aca="false">IF(D246="","",C246*EMI_MonthlyRate)</f>
        <v/>
      </c>
      <c r="G246" s="15" t="str">
        <f aca="false">IF(D246="","",MAX(C246-E246,0))</f>
        <v/>
      </c>
    </row>
    <row r="247" customFormat="false" ht="15" hidden="false" customHeight="true" outlineLevel="0" collapsed="false">
      <c r="A247" s="10" t="n">
        <f aca="false">A246+1</f>
        <v>243</v>
      </c>
      <c r="B247" s="54" t="str">
        <f aca="false">IF(D247="","",EDATE(EMI_StartDate,A247))</f>
        <v/>
      </c>
      <c r="C247" s="11" t="str">
        <f aca="false">IF(D246="","",G246)</f>
        <v/>
      </c>
      <c r="D247" s="11" t="str">
        <f aca="false">IF(A247&gt;EMI_NPer,"",EMI_Payment)</f>
        <v/>
      </c>
      <c r="E247" s="11" t="str">
        <f aca="false">IF(D247="","",D247-F247)</f>
        <v/>
      </c>
      <c r="F247" s="11" t="str">
        <f aca="false">IF(D247="","",C247*EMI_MonthlyRate)</f>
        <v/>
      </c>
      <c r="G247" s="11" t="str">
        <f aca="false">IF(D247="","",MAX(C247-E247,0))</f>
        <v/>
      </c>
    </row>
    <row r="248" customFormat="false" ht="15" hidden="false" customHeight="true" outlineLevel="0" collapsed="false">
      <c r="A248" s="14" t="n">
        <f aca="false">A247+1</f>
        <v>244</v>
      </c>
      <c r="B248" s="55" t="str">
        <f aca="false">IF(D248="","",EDATE(EMI_StartDate,A248))</f>
        <v/>
      </c>
      <c r="C248" s="15" t="str">
        <f aca="false">IF(D247="","",G247)</f>
        <v/>
      </c>
      <c r="D248" s="15" t="str">
        <f aca="false">IF(A248&gt;EMI_NPer,"",EMI_Payment)</f>
        <v/>
      </c>
      <c r="E248" s="15" t="str">
        <f aca="false">IF(D248="","",D248-F248)</f>
        <v/>
      </c>
      <c r="F248" s="15" t="str">
        <f aca="false">IF(D248="","",C248*EMI_MonthlyRate)</f>
        <v/>
      </c>
      <c r="G248" s="15" t="str">
        <f aca="false">IF(D248="","",MAX(C248-E248,0))</f>
        <v/>
      </c>
    </row>
    <row r="249" customFormat="false" ht="15" hidden="false" customHeight="true" outlineLevel="0" collapsed="false">
      <c r="A249" s="10" t="n">
        <f aca="false">A248+1</f>
        <v>245</v>
      </c>
      <c r="B249" s="54" t="str">
        <f aca="false">IF(D249="","",EDATE(EMI_StartDate,A249))</f>
        <v/>
      </c>
      <c r="C249" s="11" t="str">
        <f aca="false">IF(D248="","",G248)</f>
        <v/>
      </c>
      <c r="D249" s="11" t="str">
        <f aca="false">IF(A249&gt;EMI_NPer,"",EMI_Payment)</f>
        <v/>
      </c>
      <c r="E249" s="11" t="str">
        <f aca="false">IF(D249="","",D249-F249)</f>
        <v/>
      </c>
      <c r="F249" s="11" t="str">
        <f aca="false">IF(D249="","",C249*EMI_MonthlyRate)</f>
        <v/>
      </c>
      <c r="G249" s="11" t="str">
        <f aca="false">IF(D249="","",MAX(C249-E249,0))</f>
        <v/>
      </c>
    </row>
    <row r="250" customFormat="false" ht="15" hidden="false" customHeight="true" outlineLevel="0" collapsed="false">
      <c r="A250" s="14" t="n">
        <f aca="false">A249+1</f>
        <v>246</v>
      </c>
      <c r="B250" s="55" t="str">
        <f aca="false">IF(D250="","",EDATE(EMI_StartDate,A250))</f>
        <v/>
      </c>
      <c r="C250" s="15" t="str">
        <f aca="false">IF(D249="","",G249)</f>
        <v/>
      </c>
      <c r="D250" s="15" t="str">
        <f aca="false">IF(A250&gt;EMI_NPer,"",EMI_Payment)</f>
        <v/>
      </c>
      <c r="E250" s="15" t="str">
        <f aca="false">IF(D250="","",D250-F250)</f>
        <v/>
      </c>
      <c r="F250" s="15" t="str">
        <f aca="false">IF(D250="","",C250*EMI_MonthlyRate)</f>
        <v/>
      </c>
      <c r="G250" s="15" t="str">
        <f aca="false">IF(D250="","",MAX(C250-E250,0))</f>
        <v/>
      </c>
    </row>
    <row r="251" customFormat="false" ht="15" hidden="false" customHeight="true" outlineLevel="0" collapsed="false">
      <c r="A251" s="10" t="n">
        <f aca="false">A250+1</f>
        <v>247</v>
      </c>
      <c r="B251" s="54" t="str">
        <f aca="false">IF(D251="","",EDATE(EMI_StartDate,A251))</f>
        <v/>
      </c>
      <c r="C251" s="11" t="str">
        <f aca="false">IF(D250="","",G250)</f>
        <v/>
      </c>
      <c r="D251" s="11" t="str">
        <f aca="false">IF(A251&gt;EMI_NPer,"",EMI_Payment)</f>
        <v/>
      </c>
      <c r="E251" s="11" t="str">
        <f aca="false">IF(D251="","",D251-F251)</f>
        <v/>
      </c>
      <c r="F251" s="11" t="str">
        <f aca="false">IF(D251="","",C251*EMI_MonthlyRate)</f>
        <v/>
      </c>
      <c r="G251" s="11" t="str">
        <f aca="false">IF(D251="","",MAX(C251-E251,0))</f>
        <v/>
      </c>
    </row>
    <row r="252" customFormat="false" ht="15" hidden="false" customHeight="true" outlineLevel="0" collapsed="false">
      <c r="A252" s="14" t="n">
        <f aca="false">A251+1</f>
        <v>248</v>
      </c>
      <c r="B252" s="55" t="str">
        <f aca="false">IF(D252="","",EDATE(EMI_StartDate,A252))</f>
        <v/>
      </c>
      <c r="C252" s="15" t="str">
        <f aca="false">IF(D251="","",G251)</f>
        <v/>
      </c>
      <c r="D252" s="15" t="str">
        <f aca="false">IF(A252&gt;EMI_NPer,"",EMI_Payment)</f>
        <v/>
      </c>
      <c r="E252" s="15" t="str">
        <f aca="false">IF(D252="","",D252-F252)</f>
        <v/>
      </c>
      <c r="F252" s="15" t="str">
        <f aca="false">IF(D252="","",C252*EMI_MonthlyRate)</f>
        <v/>
      </c>
      <c r="G252" s="15" t="str">
        <f aca="false">IF(D252="","",MAX(C252-E252,0))</f>
        <v/>
      </c>
    </row>
    <row r="253" customFormat="false" ht="15" hidden="false" customHeight="true" outlineLevel="0" collapsed="false">
      <c r="A253" s="10" t="n">
        <f aca="false">A252+1</f>
        <v>249</v>
      </c>
      <c r="B253" s="54" t="str">
        <f aca="false">IF(D253="","",EDATE(EMI_StartDate,A253))</f>
        <v/>
      </c>
      <c r="C253" s="11" t="str">
        <f aca="false">IF(D252="","",G252)</f>
        <v/>
      </c>
      <c r="D253" s="11" t="str">
        <f aca="false">IF(A253&gt;EMI_NPer,"",EMI_Payment)</f>
        <v/>
      </c>
      <c r="E253" s="11" t="str">
        <f aca="false">IF(D253="","",D253-F253)</f>
        <v/>
      </c>
      <c r="F253" s="11" t="str">
        <f aca="false">IF(D253="","",C253*EMI_MonthlyRate)</f>
        <v/>
      </c>
      <c r="G253" s="11" t="str">
        <f aca="false">IF(D253="","",MAX(C253-E253,0))</f>
        <v/>
      </c>
    </row>
    <row r="254" customFormat="false" ht="15" hidden="false" customHeight="true" outlineLevel="0" collapsed="false">
      <c r="A254" s="14" t="n">
        <f aca="false">A253+1</f>
        <v>250</v>
      </c>
      <c r="B254" s="55" t="str">
        <f aca="false">IF(D254="","",EDATE(EMI_StartDate,A254))</f>
        <v/>
      </c>
      <c r="C254" s="15" t="str">
        <f aca="false">IF(D253="","",G253)</f>
        <v/>
      </c>
      <c r="D254" s="15" t="str">
        <f aca="false">IF(A254&gt;EMI_NPer,"",EMI_Payment)</f>
        <v/>
      </c>
      <c r="E254" s="15" t="str">
        <f aca="false">IF(D254="","",D254-F254)</f>
        <v/>
      </c>
      <c r="F254" s="15" t="str">
        <f aca="false">IF(D254="","",C254*EMI_MonthlyRate)</f>
        <v/>
      </c>
      <c r="G254" s="15" t="str">
        <f aca="false">IF(D254="","",MAX(C254-E254,0))</f>
        <v/>
      </c>
    </row>
    <row r="255" customFormat="false" ht="15" hidden="false" customHeight="true" outlineLevel="0" collapsed="false">
      <c r="A255" s="10" t="n">
        <f aca="false">A254+1</f>
        <v>251</v>
      </c>
      <c r="B255" s="54" t="str">
        <f aca="false">IF(D255="","",EDATE(EMI_StartDate,A255))</f>
        <v/>
      </c>
      <c r="C255" s="11" t="str">
        <f aca="false">IF(D254="","",G254)</f>
        <v/>
      </c>
      <c r="D255" s="11" t="str">
        <f aca="false">IF(A255&gt;EMI_NPer,"",EMI_Payment)</f>
        <v/>
      </c>
      <c r="E255" s="11" t="str">
        <f aca="false">IF(D255="","",D255-F255)</f>
        <v/>
      </c>
      <c r="F255" s="11" t="str">
        <f aca="false">IF(D255="","",C255*EMI_MonthlyRate)</f>
        <v/>
      </c>
      <c r="G255" s="11" t="str">
        <f aca="false">IF(D255="","",MAX(C255-E255,0))</f>
        <v/>
      </c>
    </row>
    <row r="256" customFormat="false" ht="15" hidden="false" customHeight="true" outlineLevel="0" collapsed="false">
      <c r="A256" s="14" t="n">
        <f aca="false">A255+1</f>
        <v>252</v>
      </c>
      <c r="B256" s="55" t="str">
        <f aca="false">IF(D256="","",EDATE(EMI_StartDate,A256))</f>
        <v/>
      </c>
      <c r="C256" s="15" t="str">
        <f aca="false">IF(D255="","",G255)</f>
        <v/>
      </c>
      <c r="D256" s="15" t="str">
        <f aca="false">IF(A256&gt;EMI_NPer,"",EMI_Payment)</f>
        <v/>
      </c>
      <c r="E256" s="15" t="str">
        <f aca="false">IF(D256="","",D256-F256)</f>
        <v/>
      </c>
      <c r="F256" s="15" t="str">
        <f aca="false">IF(D256="","",C256*EMI_MonthlyRate)</f>
        <v/>
      </c>
      <c r="G256" s="15" t="str">
        <f aca="false">IF(D256="","",MAX(C256-E256,0))</f>
        <v/>
      </c>
    </row>
    <row r="257" customFormat="false" ht="15" hidden="false" customHeight="true" outlineLevel="0" collapsed="false">
      <c r="A257" s="10" t="n">
        <f aca="false">A256+1</f>
        <v>253</v>
      </c>
      <c r="B257" s="54" t="str">
        <f aca="false">IF(D257="","",EDATE(EMI_StartDate,A257))</f>
        <v/>
      </c>
      <c r="C257" s="11" t="str">
        <f aca="false">IF(D256="","",G256)</f>
        <v/>
      </c>
      <c r="D257" s="11" t="str">
        <f aca="false">IF(A257&gt;EMI_NPer,"",EMI_Payment)</f>
        <v/>
      </c>
      <c r="E257" s="11" t="str">
        <f aca="false">IF(D257="","",D257-F257)</f>
        <v/>
      </c>
      <c r="F257" s="11" t="str">
        <f aca="false">IF(D257="","",C257*EMI_MonthlyRate)</f>
        <v/>
      </c>
      <c r="G257" s="11" t="str">
        <f aca="false">IF(D257="","",MAX(C257-E257,0))</f>
        <v/>
      </c>
    </row>
    <row r="258" customFormat="false" ht="15" hidden="false" customHeight="true" outlineLevel="0" collapsed="false">
      <c r="A258" s="14" t="n">
        <f aca="false">A257+1</f>
        <v>254</v>
      </c>
      <c r="B258" s="55" t="str">
        <f aca="false">IF(D258="","",EDATE(EMI_StartDate,A258))</f>
        <v/>
      </c>
      <c r="C258" s="15" t="str">
        <f aca="false">IF(D257="","",G257)</f>
        <v/>
      </c>
      <c r="D258" s="15" t="str">
        <f aca="false">IF(A258&gt;EMI_NPer,"",EMI_Payment)</f>
        <v/>
      </c>
      <c r="E258" s="15" t="str">
        <f aca="false">IF(D258="","",D258-F258)</f>
        <v/>
      </c>
      <c r="F258" s="15" t="str">
        <f aca="false">IF(D258="","",C258*EMI_MonthlyRate)</f>
        <v/>
      </c>
      <c r="G258" s="15" t="str">
        <f aca="false">IF(D258="","",MAX(C258-E258,0))</f>
        <v/>
      </c>
    </row>
    <row r="259" customFormat="false" ht="15" hidden="false" customHeight="true" outlineLevel="0" collapsed="false">
      <c r="A259" s="10" t="n">
        <f aca="false">A258+1</f>
        <v>255</v>
      </c>
      <c r="B259" s="54" t="str">
        <f aca="false">IF(D259="","",EDATE(EMI_StartDate,A259))</f>
        <v/>
      </c>
      <c r="C259" s="11" t="str">
        <f aca="false">IF(D258="","",G258)</f>
        <v/>
      </c>
      <c r="D259" s="11" t="str">
        <f aca="false">IF(A259&gt;EMI_NPer,"",EMI_Payment)</f>
        <v/>
      </c>
      <c r="E259" s="11" t="str">
        <f aca="false">IF(D259="","",D259-F259)</f>
        <v/>
      </c>
      <c r="F259" s="11" t="str">
        <f aca="false">IF(D259="","",C259*EMI_MonthlyRate)</f>
        <v/>
      </c>
      <c r="G259" s="11" t="str">
        <f aca="false">IF(D259="","",MAX(C259-E259,0))</f>
        <v/>
      </c>
    </row>
    <row r="260" customFormat="false" ht="15" hidden="false" customHeight="true" outlineLevel="0" collapsed="false">
      <c r="A260" s="14" t="n">
        <f aca="false">A259+1</f>
        <v>256</v>
      </c>
      <c r="B260" s="55" t="str">
        <f aca="false">IF(D260="","",EDATE(EMI_StartDate,A260))</f>
        <v/>
      </c>
      <c r="C260" s="15" t="str">
        <f aca="false">IF(D259="","",G259)</f>
        <v/>
      </c>
      <c r="D260" s="15" t="str">
        <f aca="false">IF(A260&gt;EMI_NPer,"",EMI_Payment)</f>
        <v/>
      </c>
      <c r="E260" s="15" t="str">
        <f aca="false">IF(D260="","",D260-F260)</f>
        <v/>
      </c>
      <c r="F260" s="15" t="str">
        <f aca="false">IF(D260="","",C260*EMI_MonthlyRate)</f>
        <v/>
      </c>
      <c r="G260" s="15" t="str">
        <f aca="false">IF(D260="","",MAX(C260-E260,0))</f>
        <v/>
      </c>
    </row>
    <row r="261" customFormat="false" ht="15" hidden="false" customHeight="true" outlineLevel="0" collapsed="false">
      <c r="A261" s="10" t="n">
        <f aca="false">A260+1</f>
        <v>257</v>
      </c>
      <c r="B261" s="54" t="str">
        <f aca="false">IF(D261="","",EDATE(EMI_StartDate,A261))</f>
        <v/>
      </c>
      <c r="C261" s="11" t="str">
        <f aca="false">IF(D260="","",G260)</f>
        <v/>
      </c>
      <c r="D261" s="11" t="str">
        <f aca="false">IF(A261&gt;EMI_NPer,"",EMI_Payment)</f>
        <v/>
      </c>
      <c r="E261" s="11" t="str">
        <f aca="false">IF(D261="","",D261-F261)</f>
        <v/>
      </c>
      <c r="F261" s="11" t="str">
        <f aca="false">IF(D261="","",C261*EMI_MonthlyRate)</f>
        <v/>
      </c>
      <c r="G261" s="11" t="str">
        <f aca="false">IF(D261="","",MAX(C261-E261,0))</f>
        <v/>
      </c>
    </row>
    <row r="262" customFormat="false" ht="15" hidden="false" customHeight="true" outlineLevel="0" collapsed="false">
      <c r="A262" s="14" t="n">
        <f aca="false">A261+1</f>
        <v>258</v>
      </c>
      <c r="B262" s="55" t="str">
        <f aca="false">IF(D262="","",EDATE(EMI_StartDate,A262))</f>
        <v/>
      </c>
      <c r="C262" s="15" t="str">
        <f aca="false">IF(D261="","",G261)</f>
        <v/>
      </c>
      <c r="D262" s="15" t="str">
        <f aca="false">IF(A262&gt;EMI_NPer,"",EMI_Payment)</f>
        <v/>
      </c>
      <c r="E262" s="15" t="str">
        <f aca="false">IF(D262="","",D262-F262)</f>
        <v/>
      </c>
      <c r="F262" s="15" t="str">
        <f aca="false">IF(D262="","",C262*EMI_MonthlyRate)</f>
        <v/>
      </c>
      <c r="G262" s="15" t="str">
        <f aca="false">IF(D262="","",MAX(C262-E262,0))</f>
        <v/>
      </c>
    </row>
    <row r="263" customFormat="false" ht="15" hidden="false" customHeight="true" outlineLevel="0" collapsed="false">
      <c r="A263" s="10" t="n">
        <f aca="false">A262+1</f>
        <v>259</v>
      </c>
      <c r="B263" s="54" t="str">
        <f aca="false">IF(D263="","",EDATE(EMI_StartDate,A263))</f>
        <v/>
      </c>
      <c r="C263" s="11" t="str">
        <f aca="false">IF(D262="","",G262)</f>
        <v/>
      </c>
      <c r="D263" s="11" t="str">
        <f aca="false">IF(A263&gt;EMI_NPer,"",EMI_Payment)</f>
        <v/>
      </c>
      <c r="E263" s="11" t="str">
        <f aca="false">IF(D263="","",D263-F263)</f>
        <v/>
      </c>
      <c r="F263" s="11" t="str">
        <f aca="false">IF(D263="","",C263*EMI_MonthlyRate)</f>
        <v/>
      </c>
      <c r="G263" s="11" t="str">
        <f aca="false">IF(D263="","",MAX(C263-E263,0))</f>
        <v/>
      </c>
    </row>
    <row r="264" customFormat="false" ht="15" hidden="false" customHeight="true" outlineLevel="0" collapsed="false">
      <c r="A264" s="14" t="n">
        <f aca="false">A263+1</f>
        <v>260</v>
      </c>
      <c r="B264" s="55" t="str">
        <f aca="false">IF(D264="","",EDATE(EMI_StartDate,A264))</f>
        <v/>
      </c>
      <c r="C264" s="15" t="str">
        <f aca="false">IF(D263="","",G263)</f>
        <v/>
      </c>
      <c r="D264" s="15" t="str">
        <f aca="false">IF(A264&gt;EMI_NPer,"",EMI_Payment)</f>
        <v/>
      </c>
      <c r="E264" s="15" t="str">
        <f aca="false">IF(D264="","",D264-F264)</f>
        <v/>
      </c>
      <c r="F264" s="15" t="str">
        <f aca="false">IF(D264="","",C264*EMI_MonthlyRate)</f>
        <v/>
      </c>
      <c r="G264" s="15" t="str">
        <f aca="false">IF(D264="","",MAX(C264-E264,0))</f>
        <v/>
      </c>
    </row>
    <row r="265" customFormat="false" ht="15" hidden="false" customHeight="true" outlineLevel="0" collapsed="false">
      <c r="A265" s="10" t="n">
        <f aca="false">A264+1</f>
        <v>261</v>
      </c>
      <c r="B265" s="54" t="str">
        <f aca="false">IF(D265="","",EDATE(EMI_StartDate,A265))</f>
        <v/>
      </c>
      <c r="C265" s="11" t="str">
        <f aca="false">IF(D264="","",G264)</f>
        <v/>
      </c>
      <c r="D265" s="11" t="str">
        <f aca="false">IF(A265&gt;EMI_NPer,"",EMI_Payment)</f>
        <v/>
      </c>
      <c r="E265" s="11" t="str">
        <f aca="false">IF(D265="","",D265-F265)</f>
        <v/>
      </c>
      <c r="F265" s="11" t="str">
        <f aca="false">IF(D265="","",C265*EMI_MonthlyRate)</f>
        <v/>
      </c>
      <c r="G265" s="11" t="str">
        <f aca="false">IF(D265="","",MAX(C265-E265,0))</f>
        <v/>
      </c>
    </row>
    <row r="266" customFormat="false" ht="15" hidden="false" customHeight="true" outlineLevel="0" collapsed="false">
      <c r="A266" s="14" t="n">
        <f aca="false">A265+1</f>
        <v>262</v>
      </c>
      <c r="B266" s="55" t="str">
        <f aca="false">IF(D266="","",EDATE(EMI_StartDate,A266))</f>
        <v/>
      </c>
      <c r="C266" s="15" t="str">
        <f aca="false">IF(D265="","",G265)</f>
        <v/>
      </c>
      <c r="D266" s="15" t="str">
        <f aca="false">IF(A266&gt;EMI_NPer,"",EMI_Payment)</f>
        <v/>
      </c>
      <c r="E266" s="15" t="str">
        <f aca="false">IF(D266="","",D266-F266)</f>
        <v/>
      </c>
      <c r="F266" s="15" t="str">
        <f aca="false">IF(D266="","",C266*EMI_MonthlyRate)</f>
        <v/>
      </c>
      <c r="G266" s="15" t="str">
        <f aca="false">IF(D266="","",MAX(C266-E266,0))</f>
        <v/>
      </c>
    </row>
    <row r="267" customFormat="false" ht="15" hidden="false" customHeight="true" outlineLevel="0" collapsed="false">
      <c r="A267" s="10" t="n">
        <f aca="false">A266+1</f>
        <v>263</v>
      </c>
      <c r="B267" s="54" t="str">
        <f aca="false">IF(D267="","",EDATE(EMI_StartDate,A267))</f>
        <v/>
      </c>
      <c r="C267" s="11" t="str">
        <f aca="false">IF(D266="","",G266)</f>
        <v/>
      </c>
      <c r="D267" s="11" t="str">
        <f aca="false">IF(A267&gt;EMI_NPer,"",EMI_Payment)</f>
        <v/>
      </c>
      <c r="E267" s="11" t="str">
        <f aca="false">IF(D267="","",D267-F267)</f>
        <v/>
      </c>
      <c r="F267" s="11" t="str">
        <f aca="false">IF(D267="","",C267*EMI_MonthlyRate)</f>
        <v/>
      </c>
      <c r="G267" s="11" t="str">
        <f aca="false">IF(D267="","",MAX(C267-E267,0))</f>
        <v/>
      </c>
    </row>
    <row r="268" customFormat="false" ht="15" hidden="false" customHeight="true" outlineLevel="0" collapsed="false">
      <c r="A268" s="14" t="n">
        <f aca="false">A267+1</f>
        <v>264</v>
      </c>
      <c r="B268" s="55" t="str">
        <f aca="false">IF(D268="","",EDATE(EMI_StartDate,A268))</f>
        <v/>
      </c>
      <c r="C268" s="15" t="str">
        <f aca="false">IF(D267="","",G267)</f>
        <v/>
      </c>
      <c r="D268" s="15" t="str">
        <f aca="false">IF(A268&gt;EMI_NPer,"",EMI_Payment)</f>
        <v/>
      </c>
      <c r="E268" s="15" t="str">
        <f aca="false">IF(D268="","",D268-F268)</f>
        <v/>
      </c>
      <c r="F268" s="15" t="str">
        <f aca="false">IF(D268="","",C268*EMI_MonthlyRate)</f>
        <v/>
      </c>
      <c r="G268" s="15" t="str">
        <f aca="false">IF(D268="","",MAX(C268-E268,0))</f>
        <v/>
      </c>
    </row>
    <row r="269" customFormat="false" ht="15" hidden="false" customHeight="true" outlineLevel="0" collapsed="false">
      <c r="A269" s="10" t="n">
        <f aca="false">A268+1</f>
        <v>265</v>
      </c>
      <c r="B269" s="54" t="str">
        <f aca="false">IF(D269="","",EDATE(EMI_StartDate,A269))</f>
        <v/>
      </c>
      <c r="C269" s="11" t="str">
        <f aca="false">IF(D268="","",G268)</f>
        <v/>
      </c>
      <c r="D269" s="11" t="str">
        <f aca="false">IF(A269&gt;EMI_NPer,"",EMI_Payment)</f>
        <v/>
      </c>
      <c r="E269" s="11" t="str">
        <f aca="false">IF(D269="","",D269-F269)</f>
        <v/>
      </c>
      <c r="F269" s="11" t="str">
        <f aca="false">IF(D269="","",C269*EMI_MonthlyRate)</f>
        <v/>
      </c>
      <c r="G269" s="11" t="str">
        <f aca="false">IF(D269="","",MAX(C269-E269,0))</f>
        <v/>
      </c>
    </row>
    <row r="270" customFormat="false" ht="15" hidden="false" customHeight="true" outlineLevel="0" collapsed="false">
      <c r="A270" s="14" t="n">
        <f aca="false">A269+1</f>
        <v>266</v>
      </c>
      <c r="B270" s="55" t="str">
        <f aca="false">IF(D270="","",EDATE(EMI_StartDate,A270))</f>
        <v/>
      </c>
      <c r="C270" s="15" t="str">
        <f aca="false">IF(D269="","",G269)</f>
        <v/>
      </c>
      <c r="D270" s="15" t="str">
        <f aca="false">IF(A270&gt;EMI_NPer,"",EMI_Payment)</f>
        <v/>
      </c>
      <c r="E270" s="15" t="str">
        <f aca="false">IF(D270="","",D270-F270)</f>
        <v/>
      </c>
      <c r="F270" s="15" t="str">
        <f aca="false">IF(D270="","",C270*EMI_MonthlyRate)</f>
        <v/>
      </c>
      <c r="G270" s="15" t="str">
        <f aca="false">IF(D270="","",MAX(C270-E270,0))</f>
        <v/>
      </c>
    </row>
    <row r="271" customFormat="false" ht="15" hidden="false" customHeight="true" outlineLevel="0" collapsed="false">
      <c r="A271" s="10" t="n">
        <f aca="false">A270+1</f>
        <v>267</v>
      </c>
      <c r="B271" s="54" t="str">
        <f aca="false">IF(D271="","",EDATE(EMI_StartDate,A271))</f>
        <v/>
      </c>
      <c r="C271" s="11" t="str">
        <f aca="false">IF(D270="","",G270)</f>
        <v/>
      </c>
      <c r="D271" s="11" t="str">
        <f aca="false">IF(A271&gt;EMI_NPer,"",EMI_Payment)</f>
        <v/>
      </c>
      <c r="E271" s="11" t="str">
        <f aca="false">IF(D271="","",D271-F271)</f>
        <v/>
      </c>
      <c r="F271" s="11" t="str">
        <f aca="false">IF(D271="","",C271*EMI_MonthlyRate)</f>
        <v/>
      </c>
      <c r="G271" s="11" t="str">
        <f aca="false">IF(D271="","",MAX(C271-E271,0))</f>
        <v/>
      </c>
    </row>
    <row r="272" customFormat="false" ht="15" hidden="false" customHeight="true" outlineLevel="0" collapsed="false">
      <c r="A272" s="14" t="n">
        <f aca="false">A271+1</f>
        <v>268</v>
      </c>
      <c r="B272" s="55" t="str">
        <f aca="false">IF(D272="","",EDATE(EMI_StartDate,A272))</f>
        <v/>
      </c>
      <c r="C272" s="15" t="str">
        <f aca="false">IF(D271="","",G271)</f>
        <v/>
      </c>
      <c r="D272" s="15" t="str">
        <f aca="false">IF(A272&gt;EMI_NPer,"",EMI_Payment)</f>
        <v/>
      </c>
      <c r="E272" s="15" t="str">
        <f aca="false">IF(D272="","",D272-F272)</f>
        <v/>
      </c>
      <c r="F272" s="15" t="str">
        <f aca="false">IF(D272="","",C272*EMI_MonthlyRate)</f>
        <v/>
      </c>
      <c r="G272" s="15" t="str">
        <f aca="false">IF(D272="","",MAX(C272-E272,0))</f>
        <v/>
      </c>
    </row>
    <row r="273" customFormat="false" ht="15" hidden="false" customHeight="true" outlineLevel="0" collapsed="false">
      <c r="A273" s="10" t="n">
        <f aca="false">A272+1</f>
        <v>269</v>
      </c>
      <c r="B273" s="54" t="str">
        <f aca="false">IF(D273="","",EDATE(EMI_StartDate,A273))</f>
        <v/>
      </c>
      <c r="C273" s="11" t="str">
        <f aca="false">IF(D272="","",G272)</f>
        <v/>
      </c>
      <c r="D273" s="11" t="str">
        <f aca="false">IF(A273&gt;EMI_NPer,"",EMI_Payment)</f>
        <v/>
      </c>
      <c r="E273" s="11" t="str">
        <f aca="false">IF(D273="","",D273-F273)</f>
        <v/>
      </c>
      <c r="F273" s="11" t="str">
        <f aca="false">IF(D273="","",C273*EMI_MonthlyRate)</f>
        <v/>
      </c>
      <c r="G273" s="11" t="str">
        <f aca="false">IF(D273="","",MAX(C273-E273,0))</f>
        <v/>
      </c>
    </row>
    <row r="274" customFormat="false" ht="15" hidden="false" customHeight="true" outlineLevel="0" collapsed="false">
      <c r="A274" s="14" t="n">
        <f aca="false">A273+1</f>
        <v>270</v>
      </c>
      <c r="B274" s="55" t="str">
        <f aca="false">IF(D274="","",EDATE(EMI_StartDate,A274))</f>
        <v/>
      </c>
      <c r="C274" s="15" t="str">
        <f aca="false">IF(D273="","",G273)</f>
        <v/>
      </c>
      <c r="D274" s="15" t="str">
        <f aca="false">IF(A274&gt;EMI_NPer,"",EMI_Payment)</f>
        <v/>
      </c>
      <c r="E274" s="15" t="str">
        <f aca="false">IF(D274="","",D274-F274)</f>
        <v/>
      </c>
      <c r="F274" s="15" t="str">
        <f aca="false">IF(D274="","",C274*EMI_MonthlyRate)</f>
        <v/>
      </c>
      <c r="G274" s="15" t="str">
        <f aca="false">IF(D274="","",MAX(C274-E274,0))</f>
        <v/>
      </c>
    </row>
    <row r="275" customFormat="false" ht="15" hidden="false" customHeight="true" outlineLevel="0" collapsed="false">
      <c r="A275" s="10" t="n">
        <f aca="false">A274+1</f>
        <v>271</v>
      </c>
      <c r="B275" s="54" t="str">
        <f aca="false">IF(D275="","",EDATE(EMI_StartDate,A275))</f>
        <v/>
      </c>
      <c r="C275" s="11" t="str">
        <f aca="false">IF(D274="","",G274)</f>
        <v/>
      </c>
      <c r="D275" s="11" t="str">
        <f aca="false">IF(A275&gt;EMI_NPer,"",EMI_Payment)</f>
        <v/>
      </c>
      <c r="E275" s="11" t="str">
        <f aca="false">IF(D275="","",D275-F275)</f>
        <v/>
      </c>
      <c r="F275" s="11" t="str">
        <f aca="false">IF(D275="","",C275*EMI_MonthlyRate)</f>
        <v/>
      </c>
      <c r="G275" s="11" t="str">
        <f aca="false">IF(D275="","",MAX(C275-E275,0))</f>
        <v/>
      </c>
    </row>
    <row r="276" customFormat="false" ht="15" hidden="false" customHeight="true" outlineLevel="0" collapsed="false">
      <c r="A276" s="14" t="n">
        <f aca="false">A275+1</f>
        <v>272</v>
      </c>
      <c r="B276" s="55" t="str">
        <f aca="false">IF(D276="","",EDATE(EMI_StartDate,A276))</f>
        <v/>
      </c>
      <c r="C276" s="15" t="str">
        <f aca="false">IF(D275="","",G275)</f>
        <v/>
      </c>
      <c r="D276" s="15" t="str">
        <f aca="false">IF(A276&gt;EMI_NPer,"",EMI_Payment)</f>
        <v/>
      </c>
      <c r="E276" s="15" t="str">
        <f aca="false">IF(D276="","",D276-F276)</f>
        <v/>
      </c>
      <c r="F276" s="15" t="str">
        <f aca="false">IF(D276="","",C276*EMI_MonthlyRate)</f>
        <v/>
      </c>
      <c r="G276" s="15" t="str">
        <f aca="false">IF(D276="","",MAX(C276-E276,0))</f>
        <v/>
      </c>
    </row>
    <row r="277" customFormat="false" ht="15" hidden="false" customHeight="true" outlineLevel="0" collapsed="false">
      <c r="A277" s="10" t="n">
        <f aca="false">A276+1</f>
        <v>273</v>
      </c>
      <c r="B277" s="54" t="str">
        <f aca="false">IF(D277="","",EDATE(EMI_StartDate,A277))</f>
        <v/>
      </c>
      <c r="C277" s="11" t="str">
        <f aca="false">IF(D276="","",G276)</f>
        <v/>
      </c>
      <c r="D277" s="11" t="str">
        <f aca="false">IF(A277&gt;EMI_NPer,"",EMI_Payment)</f>
        <v/>
      </c>
      <c r="E277" s="11" t="str">
        <f aca="false">IF(D277="","",D277-F277)</f>
        <v/>
      </c>
      <c r="F277" s="11" t="str">
        <f aca="false">IF(D277="","",C277*EMI_MonthlyRate)</f>
        <v/>
      </c>
      <c r="G277" s="11" t="str">
        <f aca="false">IF(D277="","",MAX(C277-E277,0))</f>
        <v/>
      </c>
    </row>
    <row r="278" customFormat="false" ht="15" hidden="false" customHeight="true" outlineLevel="0" collapsed="false">
      <c r="A278" s="14" t="n">
        <f aca="false">A277+1</f>
        <v>274</v>
      </c>
      <c r="B278" s="55" t="str">
        <f aca="false">IF(D278="","",EDATE(EMI_StartDate,A278))</f>
        <v/>
      </c>
      <c r="C278" s="15" t="str">
        <f aca="false">IF(D277="","",G277)</f>
        <v/>
      </c>
      <c r="D278" s="15" t="str">
        <f aca="false">IF(A278&gt;EMI_NPer,"",EMI_Payment)</f>
        <v/>
      </c>
      <c r="E278" s="15" t="str">
        <f aca="false">IF(D278="","",D278-F278)</f>
        <v/>
      </c>
      <c r="F278" s="15" t="str">
        <f aca="false">IF(D278="","",C278*EMI_MonthlyRate)</f>
        <v/>
      </c>
      <c r="G278" s="15" t="str">
        <f aca="false">IF(D278="","",MAX(C278-E278,0))</f>
        <v/>
      </c>
    </row>
    <row r="279" customFormat="false" ht="15" hidden="false" customHeight="true" outlineLevel="0" collapsed="false">
      <c r="A279" s="10" t="n">
        <f aca="false">A278+1</f>
        <v>275</v>
      </c>
      <c r="B279" s="54" t="str">
        <f aca="false">IF(D279="","",EDATE(EMI_StartDate,A279))</f>
        <v/>
      </c>
      <c r="C279" s="11" t="str">
        <f aca="false">IF(D278="","",G278)</f>
        <v/>
      </c>
      <c r="D279" s="11" t="str">
        <f aca="false">IF(A279&gt;EMI_NPer,"",EMI_Payment)</f>
        <v/>
      </c>
      <c r="E279" s="11" t="str">
        <f aca="false">IF(D279="","",D279-F279)</f>
        <v/>
      </c>
      <c r="F279" s="11" t="str">
        <f aca="false">IF(D279="","",C279*EMI_MonthlyRate)</f>
        <v/>
      </c>
      <c r="G279" s="11" t="str">
        <f aca="false">IF(D279="","",MAX(C279-E279,0))</f>
        <v/>
      </c>
    </row>
    <row r="280" customFormat="false" ht="15" hidden="false" customHeight="true" outlineLevel="0" collapsed="false">
      <c r="A280" s="14" t="n">
        <f aca="false">A279+1</f>
        <v>276</v>
      </c>
      <c r="B280" s="55" t="str">
        <f aca="false">IF(D280="","",EDATE(EMI_StartDate,A280))</f>
        <v/>
      </c>
      <c r="C280" s="15" t="str">
        <f aca="false">IF(D279="","",G279)</f>
        <v/>
      </c>
      <c r="D280" s="15" t="str">
        <f aca="false">IF(A280&gt;EMI_NPer,"",EMI_Payment)</f>
        <v/>
      </c>
      <c r="E280" s="15" t="str">
        <f aca="false">IF(D280="","",D280-F280)</f>
        <v/>
      </c>
      <c r="F280" s="15" t="str">
        <f aca="false">IF(D280="","",C280*EMI_MonthlyRate)</f>
        <v/>
      </c>
      <c r="G280" s="15" t="str">
        <f aca="false">IF(D280="","",MAX(C280-E280,0))</f>
        <v/>
      </c>
    </row>
    <row r="281" customFormat="false" ht="15" hidden="false" customHeight="true" outlineLevel="0" collapsed="false">
      <c r="A281" s="10" t="n">
        <f aca="false">A280+1</f>
        <v>277</v>
      </c>
      <c r="B281" s="54" t="str">
        <f aca="false">IF(D281="","",EDATE(EMI_StartDate,A281))</f>
        <v/>
      </c>
      <c r="C281" s="11" t="str">
        <f aca="false">IF(D280="","",G280)</f>
        <v/>
      </c>
      <c r="D281" s="11" t="str">
        <f aca="false">IF(A281&gt;EMI_NPer,"",EMI_Payment)</f>
        <v/>
      </c>
      <c r="E281" s="11" t="str">
        <f aca="false">IF(D281="","",D281-F281)</f>
        <v/>
      </c>
      <c r="F281" s="11" t="str">
        <f aca="false">IF(D281="","",C281*EMI_MonthlyRate)</f>
        <v/>
      </c>
      <c r="G281" s="11" t="str">
        <f aca="false">IF(D281="","",MAX(C281-E281,0))</f>
        <v/>
      </c>
    </row>
    <row r="282" customFormat="false" ht="15" hidden="false" customHeight="true" outlineLevel="0" collapsed="false">
      <c r="A282" s="14" t="n">
        <f aca="false">A281+1</f>
        <v>278</v>
      </c>
      <c r="B282" s="55" t="str">
        <f aca="false">IF(D282="","",EDATE(EMI_StartDate,A282))</f>
        <v/>
      </c>
      <c r="C282" s="15" t="str">
        <f aca="false">IF(D281="","",G281)</f>
        <v/>
      </c>
      <c r="D282" s="15" t="str">
        <f aca="false">IF(A282&gt;EMI_NPer,"",EMI_Payment)</f>
        <v/>
      </c>
      <c r="E282" s="15" t="str">
        <f aca="false">IF(D282="","",D282-F282)</f>
        <v/>
      </c>
      <c r="F282" s="15" t="str">
        <f aca="false">IF(D282="","",C282*EMI_MonthlyRate)</f>
        <v/>
      </c>
      <c r="G282" s="15" t="str">
        <f aca="false">IF(D282="","",MAX(C282-E282,0))</f>
        <v/>
      </c>
    </row>
    <row r="283" customFormat="false" ht="15" hidden="false" customHeight="true" outlineLevel="0" collapsed="false">
      <c r="A283" s="10" t="n">
        <f aca="false">A282+1</f>
        <v>279</v>
      </c>
      <c r="B283" s="54" t="str">
        <f aca="false">IF(D283="","",EDATE(EMI_StartDate,A283))</f>
        <v/>
      </c>
      <c r="C283" s="11" t="str">
        <f aca="false">IF(D282="","",G282)</f>
        <v/>
      </c>
      <c r="D283" s="11" t="str">
        <f aca="false">IF(A283&gt;EMI_NPer,"",EMI_Payment)</f>
        <v/>
      </c>
      <c r="E283" s="11" t="str">
        <f aca="false">IF(D283="","",D283-F283)</f>
        <v/>
      </c>
      <c r="F283" s="11" t="str">
        <f aca="false">IF(D283="","",C283*EMI_MonthlyRate)</f>
        <v/>
      </c>
      <c r="G283" s="11" t="str">
        <f aca="false">IF(D283="","",MAX(C283-E283,0))</f>
        <v/>
      </c>
    </row>
    <row r="284" customFormat="false" ht="15" hidden="false" customHeight="true" outlineLevel="0" collapsed="false">
      <c r="A284" s="14" t="n">
        <f aca="false">A283+1</f>
        <v>280</v>
      </c>
      <c r="B284" s="55" t="str">
        <f aca="false">IF(D284="","",EDATE(EMI_StartDate,A284))</f>
        <v/>
      </c>
      <c r="C284" s="15" t="str">
        <f aca="false">IF(D283="","",G283)</f>
        <v/>
      </c>
      <c r="D284" s="15" t="str">
        <f aca="false">IF(A284&gt;EMI_NPer,"",EMI_Payment)</f>
        <v/>
      </c>
      <c r="E284" s="15" t="str">
        <f aca="false">IF(D284="","",D284-F284)</f>
        <v/>
      </c>
      <c r="F284" s="15" t="str">
        <f aca="false">IF(D284="","",C284*EMI_MonthlyRate)</f>
        <v/>
      </c>
      <c r="G284" s="15" t="str">
        <f aca="false">IF(D284="","",MAX(C284-E284,0))</f>
        <v/>
      </c>
    </row>
    <row r="285" customFormat="false" ht="15" hidden="false" customHeight="true" outlineLevel="0" collapsed="false">
      <c r="A285" s="10" t="n">
        <f aca="false">A284+1</f>
        <v>281</v>
      </c>
      <c r="B285" s="54" t="str">
        <f aca="false">IF(D285="","",EDATE(EMI_StartDate,A285))</f>
        <v/>
      </c>
      <c r="C285" s="11" t="str">
        <f aca="false">IF(D284="","",G284)</f>
        <v/>
      </c>
      <c r="D285" s="11" t="str">
        <f aca="false">IF(A285&gt;EMI_NPer,"",EMI_Payment)</f>
        <v/>
      </c>
      <c r="E285" s="11" t="str">
        <f aca="false">IF(D285="","",D285-F285)</f>
        <v/>
      </c>
      <c r="F285" s="11" t="str">
        <f aca="false">IF(D285="","",C285*EMI_MonthlyRate)</f>
        <v/>
      </c>
      <c r="G285" s="11" t="str">
        <f aca="false">IF(D285="","",MAX(C285-E285,0))</f>
        <v/>
      </c>
    </row>
    <row r="286" customFormat="false" ht="15" hidden="false" customHeight="true" outlineLevel="0" collapsed="false">
      <c r="A286" s="14" t="n">
        <f aca="false">A285+1</f>
        <v>282</v>
      </c>
      <c r="B286" s="55" t="str">
        <f aca="false">IF(D286="","",EDATE(EMI_StartDate,A286))</f>
        <v/>
      </c>
      <c r="C286" s="15" t="str">
        <f aca="false">IF(D285="","",G285)</f>
        <v/>
      </c>
      <c r="D286" s="15" t="str">
        <f aca="false">IF(A286&gt;EMI_NPer,"",EMI_Payment)</f>
        <v/>
      </c>
      <c r="E286" s="15" t="str">
        <f aca="false">IF(D286="","",D286-F286)</f>
        <v/>
      </c>
      <c r="F286" s="15" t="str">
        <f aca="false">IF(D286="","",C286*EMI_MonthlyRate)</f>
        <v/>
      </c>
      <c r="G286" s="15" t="str">
        <f aca="false">IF(D286="","",MAX(C286-E286,0))</f>
        <v/>
      </c>
    </row>
    <row r="287" customFormat="false" ht="15" hidden="false" customHeight="true" outlineLevel="0" collapsed="false">
      <c r="A287" s="10" t="n">
        <f aca="false">A286+1</f>
        <v>283</v>
      </c>
      <c r="B287" s="54" t="str">
        <f aca="false">IF(D287="","",EDATE(EMI_StartDate,A287))</f>
        <v/>
      </c>
      <c r="C287" s="11" t="str">
        <f aca="false">IF(D286="","",G286)</f>
        <v/>
      </c>
      <c r="D287" s="11" t="str">
        <f aca="false">IF(A287&gt;EMI_NPer,"",EMI_Payment)</f>
        <v/>
      </c>
      <c r="E287" s="11" t="str">
        <f aca="false">IF(D287="","",D287-F287)</f>
        <v/>
      </c>
      <c r="F287" s="11" t="str">
        <f aca="false">IF(D287="","",C287*EMI_MonthlyRate)</f>
        <v/>
      </c>
      <c r="G287" s="11" t="str">
        <f aca="false">IF(D287="","",MAX(C287-E287,0))</f>
        <v/>
      </c>
    </row>
    <row r="288" customFormat="false" ht="15" hidden="false" customHeight="true" outlineLevel="0" collapsed="false">
      <c r="A288" s="14" t="n">
        <f aca="false">A287+1</f>
        <v>284</v>
      </c>
      <c r="B288" s="55" t="str">
        <f aca="false">IF(D288="","",EDATE(EMI_StartDate,A288))</f>
        <v/>
      </c>
      <c r="C288" s="15" t="str">
        <f aca="false">IF(D287="","",G287)</f>
        <v/>
      </c>
      <c r="D288" s="15" t="str">
        <f aca="false">IF(A288&gt;EMI_NPer,"",EMI_Payment)</f>
        <v/>
      </c>
      <c r="E288" s="15" t="str">
        <f aca="false">IF(D288="","",D288-F288)</f>
        <v/>
      </c>
      <c r="F288" s="15" t="str">
        <f aca="false">IF(D288="","",C288*EMI_MonthlyRate)</f>
        <v/>
      </c>
      <c r="G288" s="15" t="str">
        <f aca="false">IF(D288="","",MAX(C288-E288,0))</f>
        <v/>
      </c>
    </row>
    <row r="289" customFormat="false" ht="15" hidden="false" customHeight="true" outlineLevel="0" collapsed="false">
      <c r="A289" s="10" t="n">
        <f aca="false">A288+1</f>
        <v>285</v>
      </c>
      <c r="B289" s="54" t="str">
        <f aca="false">IF(D289="","",EDATE(EMI_StartDate,A289))</f>
        <v/>
      </c>
      <c r="C289" s="11" t="str">
        <f aca="false">IF(D288="","",G288)</f>
        <v/>
      </c>
      <c r="D289" s="11" t="str">
        <f aca="false">IF(A289&gt;EMI_NPer,"",EMI_Payment)</f>
        <v/>
      </c>
      <c r="E289" s="11" t="str">
        <f aca="false">IF(D289="","",D289-F289)</f>
        <v/>
      </c>
      <c r="F289" s="11" t="str">
        <f aca="false">IF(D289="","",C289*EMI_MonthlyRate)</f>
        <v/>
      </c>
      <c r="G289" s="11" t="str">
        <f aca="false">IF(D289="","",MAX(C289-E289,0))</f>
        <v/>
      </c>
    </row>
    <row r="290" customFormat="false" ht="15" hidden="false" customHeight="true" outlineLevel="0" collapsed="false">
      <c r="A290" s="14" t="n">
        <f aca="false">A289+1</f>
        <v>286</v>
      </c>
      <c r="B290" s="55" t="str">
        <f aca="false">IF(D290="","",EDATE(EMI_StartDate,A290))</f>
        <v/>
      </c>
      <c r="C290" s="15" t="str">
        <f aca="false">IF(D289="","",G289)</f>
        <v/>
      </c>
      <c r="D290" s="15" t="str">
        <f aca="false">IF(A290&gt;EMI_NPer,"",EMI_Payment)</f>
        <v/>
      </c>
      <c r="E290" s="15" t="str">
        <f aca="false">IF(D290="","",D290-F290)</f>
        <v/>
      </c>
      <c r="F290" s="15" t="str">
        <f aca="false">IF(D290="","",C290*EMI_MonthlyRate)</f>
        <v/>
      </c>
      <c r="G290" s="15" t="str">
        <f aca="false">IF(D290="","",MAX(C290-E290,0))</f>
        <v/>
      </c>
    </row>
    <row r="291" customFormat="false" ht="15" hidden="false" customHeight="true" outlineLevel="0" collapsed="false">
      <c r="A291" s="10" t="n">
        <f aca="false">A290+1</f>
        <v>287</v>
      </c>
      <c r="B291" s="54" t="str">
        <f aca="false">IF(D291="","",EDATE(EMI_StartDate,A291))</f>
        <v/>
      </c>
      <c r="C291" s="11" t="str">
        <f aca="false">IF(D290="","",G290)</f>
        <v/>
      </c>
      <c r="D291" s="11" t="str">
        <f aca="false">IF(A291&gt;EMI_NPer,"",EMI_Payment)</f>
        <v/>
      </c>
      <c r="E291" s="11" t="str">
        <f aca="false">IF(D291="","",D291-F291)</f>
        <v/>
      </c>
      <c r="F291" s="11" t="str">
        <f aca="false">IF(D291="","",C291*EMI_MonthlyRate)</f>
        <v/>
      </c>
      <c r="G291" s="11" t="str">
        <f aca="false">IF(D291="","",MAX(C291-E291,0))</f>
        <v/>
      </c>
    </row>
    <row r="292" customFormat="false" ht="15" hidden="false" customHeight="true" outlineLevel="0" collapsed="false">
      <c r="A292" s="14" t="n">
        <f aca="false">A291+1</f>
        <v>288</v>
      </c>
      <c r="B292" s="55" t="str">
        <f aca="false">IF(D292="","",EDATE(EMI_StartDate,A292))</f>
        <v/>
      </c>
      <c r="C292" s="15" t="str">
        <f aca="false">IF(D291="","",G291)</f>
        <v/>
      </c>
      <c r="D292" s="15" t="str">
        <f aca="false">IF(A292&gt;EMI_NPer,"",EMI_Payment)</f>
        <v/>
      </c>
      <c r="E292" s="15" t="str">
        <f aca="false">IF(D292="","",D292-F292)</f>
        <v/>
      </c>
      <c r="F292" s="15" t="str">
        <f aca="false">IF(D292="","",C292*EMI_MonthlyRate)</f>
        <v/>
      </c>
      <c r="G292" s="15" t="str">
        <f aca="false">IF(D292="","",MAX(C292-E292,0))</f>
        <v/>
      </c>
    </row>
    <row r="293" customFormat="false" ht="15" hidden="false" customHeight="true" outlineLevel="0" collapsed="false">
      <c r="A293" s="10" t="n">
        <f aca="false">A292+1</f>
        <v>289</v>
      </c>
      <c r="B293" s="54" t="str">
        <f aca="false">IF(D293="","",EDATE(EMI_StartDate,A293))</f>
        <v/>
      </c>
      <c r="C293" s="11" t="str">
        <f aca="false">IF(D292="","",G292)</f>
        <v/>
      </c>
      <c r="D293" s="11" t="str">
        <f aca="false">IF(A293&gt;EMI_NPer,"",EMI_Payment)</f>
        <v/>
      </c>
      <c r="E293" s="11" t="str">
        <f aca="false">IF(D293="","",D293-F293)</f>
        <v/>
      </c>
      <c r="F293" s="11" t="str">
        <f aca="false">IF(D293="","",C293*EMI_MonthlyRate)</f>
        <v/>
      </c>
      <c r="G293" s="11" t="str">
        <f aca="false">IF(D293="","",MAX(C293-E293,0))</f>
        <v/>
      </c>
    </row>
    <row r="294" customFormat="false" ht="15" hidden="false" customHeight="true" outlineLevel="0" collapsed="false">
      <c r="A294" s="14" t="n">
        <f aca="false">A293+1</f>
        <v>290</v>
      </c>
      <c r="B294" s="55" t="str">
        <f aca="false">IF(D294="","",EDATE(EMI_StartDate,A294))</f>
        <v/>
      </c>
      <c r="C294" s="15" t="str">
        <f aca="false">IF(D293="","",G293)</f>
        <v/>
      </c>
      <c r="D294" s="15" t="str">
        <f aca="false">IF(A294&gt;EMI_NPer,"",EMI_Payment)</f>
        <v/>
      </c>
      <c r="E294" s="15" t="str">
        <f aca="false">IF(D294="","",D294-F294)</f>
        <v/>
      </c>
      <c r="F294" s="15" t="str">
        <f aca="false">IF(D294="","",C294*EMI_MonthlyRate)</f>
        <v/>
      </c>
      <c r="G294" s="15" t="str">
        <f aca="false">IF(D294="","",MAX(C294-E294,0))</f>
        <v/>
      </c>
    </row>
    <row r="295" customFormat="false" ht="15" hidden="false" customHeight="true" outlineLevel="0" collapsed="false">
      <c r="A295" s="10" t="n">
        <f aca="false">A294+1</f>
        <v>291</v>
      </c>
      <c r="B295" s="54" t="str">
        <f aca="false">IF(D295="","",EDATE(EMI_StartDate,A295))</f>
        <v/>
      </c>
      <c r="C295" s="11" t="str">
        <f aca="false">IF(D294="","",G294)</f>
        <v/>
      </c>
      <c r="D295" s="11" t="str">
        <f aca="false">IF(A295&gt;EMI_NPer,"",EMI_Payment)</f>
        <v/>
      </c>
      <c r="E295" s="11" t="str">
        <f aca="false">IF(D295="","",D295-F295)</f>
        <v/>
      </c>
      <c r="F295" s="11" t="str">
        <f aca="false">IF(D295="","",C295*EMI_MonthlyRate)</f>
        <v/>
      </c>
      <c r="G295" s="11" t="str">
        <f aca="false">IF(D295="","",MAX(C295-E295,0))</f>
        <v/>
      </c>
    </row>
    <row r="296" customFormat="false" ht="15" hidden="false" customHeight="true" outlineLevel="0" collapsed="false">
      <c r="A296" s="14" t="n">
        <f aca="false">A295+1</f>
        <v>292</v>
      </c>
      <c r="B296" s="55" t="str">
        <f aca="false">IF(D296="","",EDATE(EMI_StartDate,A296))</f>
        <v/>
      </c>
      <c r="C296" s="15" t="str">
        <f aca="false">IF(D295="","",G295)</f>
        <v/>
      </c>
      <c r="D296" s="15" t="str">
        <f aca="false">IF(A296&gt;EMI_NPer,"",EMI_Payment)</f>
        <v/>
      </c>
      <c r="E296" s="15" t="str">
        <f aca="false">IF(D296="","",D296-F296)</f>
        <v/>
      </c>
      <c r="F296" s="15" t="str">
        <f aca="false">IF(D296="","",C296*EMI_MonthlyRate)</f>
        <v/>
      </c>
      <c r="G296" s="15" t="str">
        <f aca="false">IF(D296="","",MAX(C296-E296,0))</f>
        <v/>
      </c>
    </row>
    <row r="297" customFormat="false" ht="15" hidden="false" customHeight="true" outlineLevel="0" collapsed="false">
      <c r="A297" s="10" t="n">
        <f aca="false">A296+1</f>
        <v>293</v>
      </c>
      <c r="B297" s="54" t="str">
        <f aca="false">IF(D297="","",EDATE(EMI_StartDate,A297))</f>
        <v/>
      </c>
      <c r="C297" s="11" t="str">
        <f aca="false">IF(D296="","",G296)</f>
        <v/>
      </c>
      <c r="D297" s="11" t="str">
        <f aca="false">IF(A297&gt;EMI_NPer,"",EMI_Payment)</f>
        <v/>
      </c>
      <c r="E297" s="11" t="str">
        <f aca="false">IF(D297="","",D297-F297)</f>
        <v/>
      </c>
      <c r="F297" s="11" t="str">
        <f aca="false">IF(D297="","",C297*EMI_MonthlyRate)</f>
        <v/>
      </c>
      <c r="G297" s="11" t="str">
        <f aca="false">IF(D297="","",MAX(C297-E297,0))</f>
        <v/>
      </c>
    </row>
    <row r="298" customFormat="false" ht="15" hidden="false" customHeight="true" outlineLevel="0" collapsed="false">
      <c r="A298" s="14" t="n">
        <f aca="false">A297+1</f>
        <v>294</v>
      </c>
      <c r="B298" s="55" t="str">
        <f aca="false">IF(D298="","",EDATE(EMI_StartDate,A298))</f>
        <v/>
      </c>
      <c r="C298" s="15" t="str">
        <f aca="false">IF(D297="","",G297)</f>
        <v/>
      </c>
      <c r="D298" s="15" t="str">
        <f aca="false">IF(A298&gt;EMI_NPer,"",EMI_Payment)</f>
        <v/>
      </c>
      <c r="E298" s="15" t="str">
        <f aca="false">IF(D298="","",D298-F298)</f>
        <v/>
      </c>
      <c r="F298" s="15" t="str">
        <f aca="false">IF(D298="","",C298*EMI_MonthlyRate)</f>
        <v/>
      </c>
      <c r="G298" s="15" t="str">
        <f aca="false">IF(D298="","",MAX(C298-E298,0))</f>
        <v/>
      </c>
    </row>
    <row r="299" customFormat="false" ht="15" hidden="false" customHeight="true" outlineLevel="0" collapsed="false">
      <c r="A299" s="10" t="n">
        <f aca="false">A298+1</f>
        <v>295</v>
      </c>
      <c r="B299" s="54" t="str">
        <f aca="false">IF(D299="","",EDATE(EMI_StartDate,A299))</f>
        <v/>
      </c>
      <c r="C299" s="11" t="str">
        <f aca="false">IF(D298="","",G298)</f>
        <v/>
      </c>
      <c r="D299" s="11" t="str">
        <f aca="false">IF(A299&gt;EMI_NPer,"",EMI_Payment)</f>
        <v/>
      </c>
      <c r="E299" s="11" t="str">
        <f aca="false">IF(D299="","",D299-F299)</f>
        <v/>
      </c>
      <c r="F299" s="11" t="str">
        <f aca="false">IF(D299="","",C299*EMI_MonthlyRate)</f>
        <v/>
      </c>
      <c r="G299" s="11" t="str">
        <f aca="false">IF(D299="","",MAX(C299-E299,0))</f>
        <v/>
      </c>
    </row>
    <row r="300" customFormat="false" ht="15" hidden="false" customHeight="true" outlineLevel="0" collapsed="false">
      <c r="A300" s="14" t="n">
        <f aca="false">A299+1</f>
        <v>296</v>
      </c>
      <c r="B300" s="55" t="str">
        <f aca="false">IF(D300="","",EDATE(EMI_StartDate,A300))</f>
        <v/>
      </c>
      <c r="C300" s="15" t="str">
        <f aca="false">IF(D299="","",G299)</f>
        <v/>
      </c>
      <c r="D300" s="15" t="str">
        <f aca="false">IF(A300&gt;EMI_NPer,"",EMI_Payment)</f>
        <v/>
      </c>
      <c r="E300" s="15" t="str">
        <f aca="false">IF(D300="","",D300-F300)</f>
        <v/>
      </c>
      <c r="F300" s="15" t="str">
        <f aca="false">IF(D300="","",C300*EMI_MonthlyRate)</f>
        <v/>
      </c>
      <c r="G300" s="15" t="str">
        <f aca="false">IF(D300="","",MAX(C300-E300,0))</f>
        <v/>
      </c>
    </row>
    <row r="301" customFormat="false" ht="15" hidden="false" customHeight="true" outlineLevel="0" collapsed="false">
      <c r="A301" s="10" t="n">
        <f aca="false">A300+1</f>
        <v>297</v>
      </c>
      <c r="B301" s="54" t="str">
        <f aca="false">IF(D301="","",EDATE(EMI_StartDate,A301))</f>
        <v/>
      </c>
      <c r="C301" s="11" t="str">
        <f aca="false">IF(D300="","",G300)</f>
        <v/>
      </c>
      <c r="D301" s="11" t="str">
        <f aca="false">IF(A301&gt;EMI_NPer,"",EMI_Payment)</f>
        <v/>
      </c>
      <c r="E301" s="11" t="str">
        <f aca="false">IF(D301="","",D301-F301)</f>
        <v/>
      </c>
      <c r="F301" s="11" t="str">
        <f aca="false">IF(D301="","",C301*EMI_MonthlyRate)</f>
        <v/>
      </c>
      <c r="G301" s="11" t="str">
        <f aca="false">IF(D301="","",MAX(C301-E301,0))</f>
        <v/>
      </c>
    </row>
    <row r="302" customFormat="false" ht="15" hidden="false" customHeight="true" outlineLevel="0" collapsed="false">
      <c r="A302" s="14" t="n">
        <f aca="false">A301+1</f>
        <v>298</v>
      </c>
      <c r="B302" s="55" t="str">
        <f aca="false">IF(D302="","",EDATE(EMI_StartDate,A302))</f>
        <v/>
      </c>
      <c r="C302" s="15" t="str">
        <f aca="false">IF(D301="","",G301)</f>
        <v/>
      </c>
      <c r="D302" s="15" t="str">
        <f aca="false">IF(A302&gt;EMI_NPer,"",EMI_Payment)</f>
        <v/>
      </c>
      <c r="E302" s="15" t="str">
        <f aca="false">IF(D302="","",D302-F302)</f>
        <v/>
      </c>
      <c r="F302" s="15" t="str">
        <f aca="false">IF(D302="","",C302*EMI_MonthlyRate)</f>
        <v/>
      </c>
      <c r="G302" s="15" t="str">
        <f aca="false">IF(D302="","",MAX(C302-E302,0))</f>
        <v/>
      </c>
    </row>
    <row r="303" customFormat="false" ht="15" hidden="false" customHeight="true" outlineLevel="0" collapsed="false">
      <c r="A303" s="10" t="n">
        <f aca="false">A302+1</f>
        <v>299</v>
      </c>
      <c r="B303" s="54" t="str">
        <f aca="false">IF(D303="","",EDATE(EMI_StartDate,A303))</f>
        <v/>
      </c>
      <c r="C303" s="11" t="str">
        <f aca="false">IF(D302="","",G302)</f>
        <v/>
      </c>
      <c r="D303" s="11" t="str">
        <f aca="false">IF(A303&gt;EMI_NPer,"",EMI_Payment)</f>
        <v/>
      </c>
      <c r="E303" s="11" t="str">
        <f aca="false">IF(D303="","",D303-F303)</f>
        <v/>
      </c>
      <c r="F303" s="11" t="str">
        <f aca="false">IF(D303="","",C303*EMI_MonthlyRate)</f>
        <v/>
      </c>
      <c r="G303" s="11" t="str">
        <f aca="false">IF(D303="","",MAX(C303-E303,0))</f>
        <v/>
      </c>
    </row>
    <row r="304" customFormat="false" ht="15" hidden="false" customHeight="true" outlineLevel="0" collapsed="false">
      <c r="A304" s="14" t="n">
        <f aca="false">A303+1</f>
        <v>300</v>
      </c>
      <c r="B304" s="55" t="str">
        <f aca="false">IF(D304="","",EDATE(EMI_StartDate,A304))</f>
        <v/>
      </c>
      <c r="C304" s="15" t="str">
        <f aca="false">IF(D303="","",G303)</f>
        <v/>
      </c>
      <c r="D304" s="15" t="str">
        <f aca="false">IF(A304&gt;EMI_NPer,"",EMI_Payment)</f>
        <v/>
      </c>
      <c r="E304" s="15" t="str">
        <f aca="false">IF(D304="","",D304-F304)</f>
        <v/>
      </c>
      <c r="F304" s="15" t="str">
        <f aca="false">IF(D304="","",C304*EMI_MonthlyRate)</f>
        <v/>
      </c>
      <c r="G304" s="15" t="str">
        <f aca="false">IF(D304="","",MAX(C304-E304,0))</f>
        <v/>
      </c>
    </row>
    <row r="305" customFormat="false" ht="15" hidden="false" customHeight="true" outlineLevel="0" collapsed="false">
      <c r="A305" s="10" t="n">
        <f aca="false">A304+1</f>
        <v>301</v>
      </c>
      <c r="B305" s="54" t="str">
        <f aca="false">IF(D305="","",EDATE(EMI_StartDate,A305))</f>
        <v/>
      </c>
      <c r="C305" s="11" t="str">
        <f aca="false">IF(D304="","",G304)</f>
        <v/>
      </c>
      <c r="D305" s="11" t="str">
        <f aca="false">IF(A305&gt;EMI_NPer,"",EMI_Payment)</f>
        <v/>
      </c>
      <c r="E305" s="11" t="str">
        <f aca="false">IF(D305="","",D305-F305)</f>
        <v/>
      </c>
      <c r="F305" s="11" t="str">
        <f aca="false">IF(D305="","",C305*EMI_MonthlyRate)</f>
        <v/>
      </c>
      <c r="G305" s="11" t="str">
        <f aca="false">IF(D305="","",MAX(C305-E305,0))</f>
        <v/>
      </c>
    </row>
    <row r="306" customFormat="false" ht="15" hidden="false" customHeight="true" outlineLevel="0" collapsed="false">
      <c r="A306" s="14" t="n">
        <f aca="false">A305+1</f>
        <v>302</v>
      </c>
      <c r="B306" s="55" t="str">
        <f aca="false">IF(D306="","",EDATE(EMI_StartDate,A306))</f>
        <v/>
      </c>
      <c r="C306" s="15" t="str">
        <f aca="false">IF(D305="","",G305)</f>
        <v/>
      </c>
      <c r="D306" s="15" t="str">
        <f aca="false">IF(A306&gt;EMI_NPer,"",EMI_Payment)</f>
        <v/>
      </c>
      <c r="E306" s="15" t="str">
        <f aca="false">IF(D306="","",D306-F306)</f>
        <v/>
      </c>
      <c r="F306" s="15" t="str">
        <f aca="false">IF(D306="","",C306*EMI_MonthlyRate)</f>
        <v/>
      </c>
      <c r="G306" s="15" t="str">
        <f aca="false">IF(D306="","",MAX(C306-E306,0))</f>
        <v/>
      </c>
    </row>
    <row r="307" customFormat="false" ht="15" hidden="false" customHeight="true" outlineLevel="0" collapsed="false">
      <c r="A307" s="10" t="n">
        <f aca="false">A306+1</f>
        <v>303</v>
      </c>
      <c r="B307" s="54" t="str">
        <f aca="false">IF(D307="","",EDATE(EMI_StartDate,A307))</f>
        <v/>
      </c>
      <c r="C307" s="11" t="str">
        <f aca="false">IF(D306="","",G306)</f>
        <v/>
      </c>
      <c r="D307" s="11" t="str">
        <f aca="false">IF(A307&gt;EMI_NPer,"",EMI_Payment)</f>
        <v/>
      </c>
      <c r="E307" s="11" t="str">
        <f aca="false">IF(D307="","",D307-F307)</f>
        <v/>
      </c>
      <c r="F307" s="11" t="str">
        <f aca="false">IF(D307="","",C307*EMI_MonthlyRate)</f>
        <v/>
      </c>
      <c r="G307" s="11" t="str">
        <f aca="false">IF(D307="","",MAX(C307-E307,0))</f>
        <v/>
      </c>
    </row>
    <row r="308" customFormat="false" ht="15" hidden="false" customHeight="true" outlineLevel="0" collapsed="false">
      <c r="A308" s="14" t="n">
        <f aca="false">A307+1</f>
        <v>304</v>
      </c>
      <c r="B308" s="55" t="str">
        <f aca="false">IF(D308="","",EDATE(EMI_StartDate,A308))</f>
        <v/>
      </c>
      <c r="C308" s="15" t="str">
        <f aca="false">IF(D307="","",G307)</f>
        <v/>
      </c>
      <c r="D308" s="15" t="str">
        <f aca="false">IF(A308&gt;EMI_NPer,"",EMI_Payment)</f>
        <v/>
      </c>
      <c r="E308" s="15" t="str">
        <f aca="false">IF(D308="","",D308-F308)</f>
        <v/>
      </c>
      <c r="F308" s="15" t="str">
        <f aca="false">IF(D308="","",C308*EMI_MonthlyRate)</f>
        <v/>
      </c>
      <c r="G308" s="15" t="str">
        <f aca="false">IF(D308="","",MAX(C308-E308,0))</f>
        <v/>
      </c>
    </row>
    <row r="309" customFormat="false" ht="15" hidden="false" customHeight="true" outlineLevel="0" collapsed="false">
      <c r="A309" s="10" t="n">
        <f aca="false">A308+1</f>
        <v>305</v>
      </c>
      <c r="B309" s="54" t="str">
        <f aca="false">IF(D309="","",EDATE(EMI_StartDate,A309))</f>
        <v/>
      </c>
      <c r="C309" s="11" t="str">
        <f aca="false">IF(D308="","",G308)</f>
        <v/>
      </c>
      <c r="D309" s="11" t="str">
        <f aca="false">IF(A309&gt;EMI_NPer,"",EMI_Payment)</f>
        <v/>
      </c>
      <c r="E309" s="11" t="str">
        <f aca="false">IF(D309="","",D309-F309)</f>
        <v/>
      </c>
      <c r="F309" s="11" t="str">
        <f aca="false">IF(D309="","",C309*EMI_MonthlyRate)</f>
        <v/>
      </c>
      <c r="G309" s="11" t="str">
        <f aca="false">IF(D309="","",MAX(C309-E309,0))</f>
        <v/>
      </c>
    </row>
    <row r="310" customFormat="false" ht="15" hidden="false" customHeight="true" outlineLevel="0" collapsed="false">
      <c r="A310" s="14" t="n">
        <f aca="false">A309+1</f>
        <v>306</v>
      </c>
      <c r="B310" s="55" t="str">
        <f aca="false">IF(D310="","",EDATE(EMI_StartDate,A310))</f>
        <v/>
      </c>
      <c r="C310" s="15" t="str">
        <f aca="false">IF(D309="","",G309)</f>
        <v/>
      </c>
      <c r="D310" s="15" t="str">
        <f aca="false">IF(A310&gt;EMI_NPer,"",EMI_Payment)</f>
        <v/>
      </c>
      <c r="E310" s="15" t="str">
        <f aca="false">IF(D310="","",D310-F310)</f>
        <v/>
      </c>
      <c r="F310" s="15" t="str">
        <f aca="false">IF(D310="","",C310*EMI_MonthlyRate)</f>
        <v/>
      </c>
      <c r="G310" s="15" t="str">
        <f aca="false">IF(D310="","",MAX(C310-E310,0))</f>
        <v/>
      </c>
    </row>
    <row r="311" customFormat="false" ht="15" hidden="false" customHeight="true" outlineLevel="0" collapsed="false">
      <c r="A311" s="10" t="n">
        <f aca="false">A310+1</f>
        <v>307</v>
      </c>
      <c r="B311" s="54" t="str">
        <f aca="false">IF(D311="","",EDATE(EMI_StartDate,A311))</f>
        <v/>
      </c>
      <c r="C311" s="11" t="str">
        <f aca="false">IF(D310="","",G310)</f>
        <v/>
      </c>
      <c r="D311" s="11" t="str">
        <f aca="false">IF(A311&gt;EMI_NPer,"",EMI_Payment)</f>
        <v/>
      </c>
      <c r="E311" s="11" t="str">
        <f aca="false">IF(D311="","",D311-F311)</f>
        <v/>
      </c>
      <c r="F311" s="11" t="str">
        <f aca="false">IF(D311="","",C311*EMI_MonthlyRate)</f>
        <v/>
      </c>
      <c r="G311" s="11" t="str">
        <f aca="false">IF(D311="","",MAX(C311-E311,0))</f>
        <v/>
      </c>
    </row>
    <row r="312" customFormat="false" ht="15" hidden="false" customHeight="true" outlineLevel="0" collapsed="false">
      <c r="A312" s="14" t="n">
        <f aca="false">A311+1</f>
        <v>308</v>
      </c>
      <c r="B312" s="55" t="str">
        <f aca="false">IF(D312="","",EDATE(EMI_StartDate,A312))</f>
        <v/>
      </c>
      <c r="C312" s="15" t="str">
        <f aca="false">IF(D311="","",G311)</f>
        <v/>
      </c>
      <c r="D312" s="15" t="str">
        <f aca="false">IF(A312&gt;EMI_NPer,"",EMI_Payment)</f>
        <v/>
      </c>
      <c r="E312" s="15" t="str">
        <f aca="false">IF(D312="","",D312-F312)</f>
        <v/>
      </c>
      <c r="F312" s="15" t="str">
        <f aca="false">IF(D312="","",C312*EMI_MonthlyRate)</f>
        <v/>
      </c>
      <c r="G312" s="15" t="str">
        <f aca="false">IF(D312="","",MAX(C312-E312,0))</f>
        <v/>
      </c>
    </row>
    <row r="313" customFormat="false" ht="15" hidden="false" customHeight="true" outlineLevel="0" collapsed="false">
      <c r="A313" s="10" t="n">
        <f aca="false">A312+1</f>
        <v>309</v>
      </c>
      <c r="B313" s="54" t="str">
        <f aca="false">IF(D313="","",EDATE(EMI_StartDate,A313))</f>
        <v/>
      </c>
      <c r="C313" s="11" t="str">
        <f aca="false">IF(D312="","",G312)</f>
        <v/>
      </c>
      <c r="D313" s="11" t="str">
        <f aca="false">IF(A313&gt;EMI_NPer,"",EMI_Payment)</f>
        <v/>
      </c>
      <c r="E313" s="11" t="str">
        <f aca="false">IF(D313="","",D313-F313)</f>
        <v/>
      </c>
      <c r="F313" s="11" t="str">
        <f aca="false">IF(D313="","",C313*EMI_MonthlyRate)</f>
        <v/>
      </c>
      <c r="G313" s="11" t="str">
        <f aca="false">IF(D313="","",MAX(C313-E313,0))</f>
        <v/>
      </c>
    </row>
    <row r="314" customFormat="false" ht="15" hidden="false" customHeight="true" outlineLevel="0" collapsed="false">
      <c r="A314" s="14" t="n">
        <f aca="false">A313+1</f>
        <v>310</v>
      </c>
      <c r="B314" s="55" t="str">
        <f aca="false">IF(D314="","",EDATE(EMI_StartDate,A314))</f>
        <v/>
      </c>
      <c r="C314" s="15" t="str">
        <f aca="false">IF(D313="","",G313)</f>
        <v/>
      </c>
      <c r="D314" s="15" t="str">
        <f aca="false">IF(A314&gt;EMI_NPer,"",EMI_Payment)</f>
        <v/>
      </c>
      <c r="E314" s="15" t="str">
        <f aca="false">IF(D314="","",D314-F314)</f>
        <v/>
      </c>
      <c r="F314" s="15" t="str">
        <f aca="false">IF(D314="","",C314*EMI_MonthlyRate)</f>
        <v/>
      </c>
      <c r="G314" s="15" t="str">
        <f aca="false">IF(D314="","",MAX(C314-E314,0))</f>
        <v/>
      </c>
    </row>
    <row r="315" customFormat="false" ht="15" hidden="false" customHeight="true" outlineLevel="0" collapsed="false">
      <c r="A315" s="10" t="n">
        <f aca="false">A314+1</f>
        <v>311</v>
      </c>
      <c r="B315" s="54" t="str">
        <f aca="false">IF(D315="","",EDATE(EMI_StartDate,A315))</f>
        <v/>
      </c>
      <c r="C315" s="11" t="str">
        <f aca="false">IF(D314="","",G314)</f>
        <v/>
      </c>
      <c r="D315" s="11" t="str">
        <f aca="false">IF(A315&gt;EMI_NPer,"",EMI_Payment)</f>
        <v/>
      </c>
      <c r="E315" s="11" t="str">
        <f aca="false">IF(D315="","",D315-F315)</f>
        <v/>
      </c>
      <c r="F315" s="11" t="str">
        <f aca="false">IF(D315="","",C315*EMI_MonthlyRate)</f>
        <v/>
      </c>
      <c r="G315" s="11" t="str">
        <f aca="false">IF(D315="","",MAX(C315-E315,0))</f>
        <v/>
      </c>
    </row>
    <row r="316" customFormat="false" ht="15" hidden="false" customHeight="true" outlineLevel="0" collapsed="false">
      <c r="A316" s="14" t="n">
        <f aca="false">A315+1</f>
        <v>312</v>
      </c>
      <c r="B316" s="55" t="str">
        <f aca="false">IF(D316="","",EDATE(EMI_StartDate,A316))</f>
        <v/>
      </c>
      <c r="C316" s="15" t="str">
        <f aca="false">IF(D315="","",G315)</f>
        <v/>
      </c>
      <c r="D316" s="15" t="str">
        <f aca="false">IF(A316&gt;EMI_NPer,"",EMI_Payment)</f>
        <v/>
      </c>
      <c r="E316" s="15" t="str">
        <f aca="false">IF(D316="","",D316-F316)</f>
        <v/>
      </c>
      <c r="F316" s="15" t="str">
        <f aca="false">IF(D316="","",C316*EMI_MonthlyRate)</f>
        <v/>
      </c>
      <c r="G316" s="15" t="str">
        <f aca="false">IF(D316="","",MAX(C316-E316,0))</f>
        <v/>
      </c>
    </row>
    <row r="317" customFormat="false" ht="15" hidden="false" customHeight="true" outlineLevel="0" collapsed="false">
      <c r="A317" s="10" t="n">
        <f aca="false">A316+1</f>
        <v>313</v>
      </c>
      <c r="B317" s="54" t="str">
        <f aca="false">IF(D317="","",EDATE(EMI_StartDate,A317))</f>
        <v/>
      </c>
      <c r="C317" s="11" t="str">
        <f aca="false">IF(D316="","",G316)</f>
        <v/>
      </c>
      <c r="D317" s="11" t="str">
        <f aca="false">IF(A317&gt;EMI_NPer,"",EMI_Payment)</f>
        <v/>
      </c>
      <c r="E317" s="11" t="str">
        <f aca="false">IF(D317="","",D317-F317)</f>
        <v/>
      </c>
      <c r="F317" s="11" t="str">
        <f aca="false">IF(D317="","",C317*EMI_MonthlyRate)</f>
        <v/>
      </c>
      <c r="G317" s="11" t="str">
        <f aca="false">IF(D317="","",MAX(C317-E317,0))</f>
        <v/>
      </c>
    </row>
    <row r="318" customFormat="false" ht="15" hidden="false" customHeight="true" outlineLevel="0" collapsed="false">
      <c r="A318" s="14" t="n">
        <f aca="false">A317+1</f>
        <v>314</v>
      </c>
      <c r="B318" s="55" t="str">
        <f aca="false">IF(D318="","",EDATE(EMI_StartDate,A318))</f>
        <v/>
      </c>
      <c r="C318" s="15" t="str">
        <f aca="false">IF(D317="","",G317)</f>
        <v/>
      </c>
      <c r="D318" s="15" t="str">
        <f aca="false">IF(A318&gt;EMI_NPer,"",EMI_Payment)</f>
        <v/>
      </c>
      <c r="E318" s="15" t="str">
        <f aca="false">IF(D318="","",D318-F318)</f>
        <v/>
      </c>
      <c r="F318" s="15" t="str">
        <f aca="false">IF(D318="","",C318*EMI_MonthlyRate)</f>
        <v/>
      </c>
      <c r="G318" s="15" t="str">
        <f aca="false">IF(D318="","",MAX(C318-E318,0))</f>
        <v/>
      </c>
    </row>
    <row r="319" customFormat="false" ht="15" hidden="false" customHeight="true" outlineLevel="0" collapsed="false">
      <c r="A319" s="10" t="n">
        <f aca="false">A318+1</f>
        <v>315</v>
      </c>
      <c r="B319" s="54" t="str">
        <f aca="false">IF(D319="","",EDATE(EMI_StartDate,A319))</f>
        <v/>
      </c>
      <c r="C319" s="11" t="str">
        <f aca="false">IF(D318="","",G318)</f>
        <v/>
      </c>
      <c r="D319" s="11" t="str">
        <f aca="false">IF(A319&gt;EMI_NPer,"",EMI_Payment)</f>
        <v/>
      </c>
      <c r="E319" s="11" t="str">
        <f aca="false">IF(D319="","",D319-F319)</f>
        <v/>
      </c>
      <c r="F319" s="11" t="str">
        <f aca="false">IF(D319="","",C319*EMI_MonthlyRate)</f>
        <v/>
      </c>
      <c r="G319" s="11" t="str">
        <f aca="false">IF(D319="","",MAX(C319-E319,0))</f>
        <v/>
      </c>
    </row>
    <row r="320" customFormat="false" ht="15" hidden="false" customHeight="true" outlineLevel="0" collapsed="false">
      <c r="A320" s="14" t="n">
        <f aca="false">A319+1</f>
        <v>316</v>
      </c>
      <c r="B320" s="55" t="str">
        <f aca="false">IF(D320="","",EDATE(EMI_StartDate,A320))</f>
        <v/>
      </c>
      <c r="C320" s="15" t="str">
        <f aca="false">IF(D319="","",G319)</f>
        <v/>
      </c>
      <c r="D320" s="15" t="str">
        <f aca="false">IF(A320&gt;EMI_NPer,"",EMI_Payment)</f>
        <v/>
      </c>
      <c r="E320" s="15" t="str">
        <f aca="false">IF(D320="","",D320-F320)</f>
        <v/>
      </c>
      <c r="F320" s="15" t="str">
        <f aca="false">IF(D320="","",C320*EMI_MonthlyRate)</f>
        <v/>
      </c>
      <c r="G320" s="15" t="str">
        <f aca="false">IF(D320="","",MAX(C320-E320,0))</f>
        <v/>
      </c>
    </row>
    <row r="321" customFormat="false" ht="15" hidden="false" customHeight="true" outlineLevel="0" collapsed="false">
      <c r="A321" s="10" t="n">
        <f aca="false">A320+1</f>
        <v>317</v>
      </c>
      <c r="B321" s="54" t="str">
        <f aca="false">IF(D321="","",EDATE(EMI_StartDate,A321))</f>
        <v/>
      </c>
      <c r="C321" s="11" t="str">
        <f aca="false">IF(D320="","",G320)</f>
        <v/>
      </c>
      <c r="D321" s="11" t="str">
        <f aca="false">IF(A321&gt;EMI_NPer,"",EMI_Payment)</f>
        <v/>
      </c>
      <c r="E321" s="11" t="str">
        <f aca="false">IF(D321="","",D321-F321)</f>
        <v/>
      </c>
      <c r="F321" s="11" t="str">
        <f aca="false">IF(D321="","",C321*EMI_MonthlyRate)</f>
        <v/>
      </c>
      <c r="G321" s="11" t="str">
        <f aca="false">IF(D321="","",MAX(C321-E321,0))</f>
        <v/>
      </c>
    </row>
    <row r="322" customFormat="false" ht="15" hidden="false" customHeight="true" outlineLevel="0" collapsed="false">
      <c r="A322" s="14" t="n">
        <f aca="false">A321+1</f>
        <v>318</v>
      </c>
      <c r="B322" s="55" t="str">
        <f aca="false">IF(D322="","",EDATE(EMI_StartDate,A322))</f>
        <v/>
      </c>
      <c r="C322" s="15" t="str">
        <f aca="false">IF(D321="","",G321)</f>
        <v/>
      </c>
      <c r="D322" s="15" t="str">
        <f aca="false">IF(A322&gt;EMI_NPer,"",EMI_Payment)</f>
        <v/>
      </c>
      <c r="E322" s="15" t="str">
        <f aca="false">IF(D322="","",D322-F322)</f>
        <v/>
      </c>
      <c r="F322" s="15" t="str">
        <f aca="false">IF(D322="","",C322*EMI_MonthlyRate)</f>
        <v/>
      </c>
      <c r="G322" s="15" t="str">
        <f aca="false">IF(D322="","",MAX(C322-E322,0))</f>
        <v/>
      </c>
    </row>
    <row r="323" customFormat="false" ht="15" hidden="false" customHeight="true" outlineLevel="0" collapsed="false">
      <c r="A323" s="10" t="n">
        <f aca="false">A322+1</f>
        <v>319</v>
      </c>
      <c r="B323" s="54" t="str">
        <f aca="false">IF(D323="","",EDATE(EMI_StartDate,A323))</f>
        <v/>
      </c>
      <c r="C323" s="11" t="str">
        <f aca="false">IF(D322="","",G322)</f>
        <v/>
      </c>
      <c r="D323" s="11" t="str">
        <f aca="false">IF(A323&gt;EMI_NPer,"",EMI_Payment)</f>
        <v/>
      </c>
      <c r="E323" s="11" t="str">
        <f aca="false">IF(D323="","",D323-F323)</f>
        <v/>
      </c>
      <c r="F323" s="11" t="str">
        <f aca="false">IF(D323="","",C323*EMI_MonthlyRate)</f>
        <v/>
      </c>
      <c r="G323" s="11" t="str">
        <f aca="false">IF(D323="","",MAX(C323-E323,0))</f>
        <v/>
      </c>
    </row>
    <row r="324" customFormat="false" ht="15" hidden="false" customHeight="true" outlineLevel="0" collapsed="false">
      <c r="A324" s="14" t="n">
        <f aca="false">A323+1</f>
        <v>320</v>
      </c>
      <c r="B324" s="55" t="str">
        <f aca="false">IF(D324="","",EDATE(EMI_StartDate,A324))</f>
        <v/>
      </c>
      <c r="C324" s="15" t="str">
        <f aca="false">IF(D323="","",G323)</f>
        <v/>
      </c>
      <c r="D324" s="15" t="str">
        <f aca="false">IF(A324&gt;EMI_NPer,"",EMI_Payment)</f>
        <v/>
      </c>
      <c r="E324" s="15" t="str">
        <f aca="false">IF(D324="","",D324-F324)</f>
        <v/>
      </c>
      <c r="F324" s="15" t="str">
        <f aca="false">IF(D324="","",C324*EMI_MonthlyRate)</f>
        <v/>
      </c>
      <c r="G324" s="15" t="str">
        <f aca="false">IF(D324="","",MAX(C324-E324,0))</f>
        <v/>
      </c>
    </row>
    <row r="325" customFormat="false" ht="15" hidden="false" customHeight="true" outlineLevel="0" collapsed="false">
      <c r="A325" s="10" t="n">
        <f aca="false">A324+1</f>
        <v>321</v>
      </c>
      <c r="B325" s="54" t="str">
        <f aca="false">IF(D325="","",EDATE(EMI_StartDate,A325))</f>
        <v/>
      </c>
      <c r="C325" s="11" t="str">
        <f aca="false">IF(D324="","",G324)</f>
        <v/>
      </c>
      <c r="D325" s="11" t="str">
        <f aca="false">IF(A325&gt;EMI_NPer,"",EMI_Payment)</f>
        <v/>
      </c>
      <c r="E325" s="11" t="str">
        <f aca="false">IF(D325="","",D325-F325)</f>
        <v/>
      </c>
      <c r="F325" s="11" t="str">
        <f aca="false">IF(D325="","",C325*EMI_MonthlyRate)</f>
        <v/>
      </c>
      <c r="G325" s="11" t="str">
        <f aca="false">IF(D325="","",MAX(C325-E325,0))</f>
        <v/>
      </c>
    </row>
    <row r="326" customFormat="false" ht="15" hidden="false" customHeight="true" outlineLevel="0" collapsed="false">
      <c r="A326" s="14" t="n">
        <f aca="false">A325+1</f>
        <v>322</v>
      </c>
      <c r="B326" s="55" t="str">
        <f aca="false">IF(D326="","",EDATE(EMI_StartDate,A326))</f>
        <v/>
      </c>
      <c r="C326" s="15" t="str">
        <f aca="false">IF(D325="","",G325)</f>
        <v/>
      </c>
      <c r="D326" s="15" t="str">
        <f aca="false">IF(A326&gt;EMI_NPer,"",EMI_Payment)</f>
        <v/>
      </c>
      <c r="E326" s="15" t="str">
        <f aca="false">IF(D326="","",D326-F326)</f>
        <v/>
      </c>
      <c r="F326" s="15" t="str">
        <f aca="false">IF(D326="","",C326*EMI_MonthlyRate)</f>
        <v/>
      </c>
      <c r="G326" s="15" t="str">
        <f aca="false">IF(D326="","",MAX(C326-E326,0))</f>
        <v/>
      </c>
    </row>
    <row r="327" customFormat="false" ht="15" hidden="false" customHeight="true" outlineLevel="0" collapsed="false">
      <c r="A327" s="10" t="n">
        <f aca="false">A326+1</f>
        <v>323</v>
      </c>
      <c r="B327" s="54" t="str">
        <f aca="false">IF(D327="","",EDATE(EMI_StartDate,A327))</f>
        <v/>
      </c>
      <c r="C327" s="11" t="str">
        <f aca="false">IF(D326="","",G326)</f>
        <v/>
      </c>
      <c r="D327" s="11" t="str">
        <f aca="false">IF(A327&gt;EMI_NPer,"",EMI_Payment)</f>
        <v/>
      </c>
      <c r="E327" s="11" t="str">
        <f aca="false">IF(D327="","",D327-F327)</f>
        <v/>
      </c>
      <c r="F327" s="11" t="str">
        <f aca="false">IF(D327="","",C327*EMI_MonthlyRate)</f>
        <v/>
      </c>
      <c r="G327" s="11" t="str">
        <f aca="false">IF(D327="","",MAX(C327-E327,0))</f>
        <v/>
      </c>
    </row>
    <row r="328" customFormat="false" ht="15" hidden="false" customHeight="true" outlineLevel="0" collapsed="false">
      <c r="A328" s="14" t="n">
        <f aca="false">A327+1</f>
        <v>324</v>
      </c>
      <c r="B328" s="55" t="str">
        <f aca="false">IF(D328="","",EDATE(EMI_StartDate,A328))</f>
        <v/>
      </c>
      <c r="C328" s="15" t="str">
        <f aca="false">IF(D327="","",G327)</f>
        <v/>
      </c>
      <c r="D328" s="15" t="str">
        <f aca="false">IF(A328&gt;EMI_NPer,"",EMI_Payment)</f>
        <v/>
      </c>
      <c r="E328" s="15" t="str">
        <f aca="false">IF(D328="","",D328-F328)</f>
        <v/>
      </c>
      <c r="F328" s="15" t="str">
        <f aca="false">IF(D328="","",C328*EMI_MonthlyRate)</f>
        <v/>
      </c>
      <c r="G328" s="15" t="str">
        <f aca="false">IF(D328="","",MAX(C328-E328,0))</f>
        <v/>
      </c>
    </row>
    <row r="329" customFormat="false" ht="15" hidden="false" customHeight="true" outlineLevel="0" collapsed="false">
      <c r="A329" s="10" t="n">
        <f aca="false">A328+1</f>
        <v>325</v>
      </c>
      <c r="B329" s="54" t="str">
        <f aca="false">IF(D329="","",EDATE(EMI_StartDate,A329))</f>
        <v/>
      </c>
      <c r="C329" s="11" t="str">
        <f aca="false">IF(D328="","",G328)</f>
        <v/>
      </c>
      <c r="D329" s="11" t="str">
        <f aca="false">IF(A329&gt;EMI_NPer,"",EMI_Payment)</f>
        <v/>
      </c>
      <c r="E329" s="11" t="str">
        <f aca="false">IF(D329="","",D329-F329)</f>
        <v/>
      </c>
      <c r="F329" s="11" t="str">
        <f aca="false">IF(D329="","",C329*EMI_MonthlyRate)</f>
        <v/>
      </c>
      <c r="G329" s="11" t="str">
        <f aca="false">IF(D329="","",MAX(C329-E329,0))</f>
        <v/>
      </c>
    </row>
    <row r="330" customFormat="false" ht="15" hidden="false" customHeight="true" outlineLevel="0" collapsed="false">
      <c r="A330" s="14" t="n">
        <f aca="false">A329+1</f>
        <v>326</v>
      </c>
      <c r="B330" s="55" t="str">
        <f aca="false">IF(D330="","",EDATE(EMI_StartDate,A330))</f>
        <v/>
      </c>
      <c r="C330" s="15" t="str">
        <f aca="false">IF(D329="","",G329)</f>
        <v/>
      </c>
      <c r="D330" s="15" t="str">
        <f aca="false">IF(A330&gt;EMI_NPer,"",EMI_Payment)</f>
        <v/>
      </c>
      <c r="E330" s="15" t="str">
        <f aca="false">IF(D330="","",D330-F330)</f>
        <v/>
      </c>
      <c r="F330" s="15" t="str">
        <f aca="false">IF(D330="","",C330*EMI_MonthlyRate)</f>
        <v/>
      </c>
      <c r="G330" s="15" t="str">
        <f aca="false">IF(D330="","",MAX(C330-E330,0))</f>
        <v/>
      </c>
    </row>
    <row r="331" customFormat="false" ht="15" hidden="false" customHeight="true" outlineLevel="0" collapsed="false">
      <c r="A331" s="10" t="n">
        <f aca="false">A330+1</f>
        <v>327</v>
      </c>
      <c r="B331" s="54" t="str">
        <f aca="false">IF(D331="","",EDATE(EMI_StartDate,A331))</f>
        <v/>
      </c>
      <c r="C331" s="11" t="str">
        <f aca="false">IF(D330="","",G330)</f>
        <v/>
      </c>
      <c r="D331" s="11" t="str">
        <f aca="false">IF(A331&gt;EMI_NPer,"",EMI_Payment)</f>
        <v/>
      </c>
      <c r="E331" s="11" t="str">
        <f aca="false">IF(D331="","",D331-F331)</f>
        <v/>
      </c>
      <c r="F331" s="11" t="str">
        <f aca="false">IF(D331="","",C331*EMI_MonthlyRate)</f>
        <v/>
      </c>
      <c r="G331" s="11" t="str">
        <f aca="false">IF(D331="","",MAX(C331-E331,0))</f>
        <v/>
      </c>
    </row>
    <row r="332" customFormat="false" ht="15" hidden="false" customHeight="true" outlineLevel="0" collapsed="false">
      <c r="A332" s="14" t="n">
        <f aca="false">A331+1</f>
        <v>328</v>
      </c>
      <c r="B332" s="55" t="str">
        <f aca="false">IF(D332="","",EDATE(EMI_StartDate,A332))</f>
        <v/>
      </c>
      <c r="C332" s="15" t="str">
        <f aca="false">IF(D331="","",G331)</f>
        <v/>
      </c>
      <c r="D332" s="15" t="str">
        <f aca="false">IF(A332&gt;EMI_NPer,"",EMI_Payment)</f>
        <v/>
      </c>
      <c r="E332" s="15" t="str">
        <f aca="false">IF(D332="","",D332-F332)</f>
        <v/>
      </c>
      <c r="F332" s="15" t="str">
        <f aca="false">IF(D332="","",C332*EMI_MonthlyRate)</f>
        <v/>
      </c>
      <c r="G332" s="15" t="str">
        <f aca="false">IF(D332="","",MAX(C332-E332,0))</f>
        <v/>
      </c>
    </row>
    <row r="333" customFormat="false" ht="15" hidden="false" customHeight="true" outlineLevel="0" collapsed="false">
      <c r="A333" s="10" t="n">
        <f aca="false">A332+1</f>
        <v>329</v>
      </c>
      <c r="B333" s="54" t="str">
        <f aca="false">IF(D333="","",EDATE(EMI_StartDate,A333))</f>
        <v/>
      </c>
      <c r="C333" s="11" t="str">
        <f aca="false">IF(D332="","",G332)</f>
        <v/>
      </c>
      <c r="D333" s="11" t="str">
        <f aca="false">IF(A333&gt;EMI_NPer,"",EMI_Payment)</f>
        <v/>
      </c>
      <c r="E333" s="11" t="str">
        <f aca="false">IF(D333="","",D333-F333)</f>
        <v/>
      </c>
      <c r="F333" s="11" t="str">
        <f aca="false">IF(D333="","",C333*EMI_MonthlyRate)</f>
        <v/>
      </c>
      <c r="G333" s="11" t="str">
        <f aca="false">IF(D333="","",MAX(C333-E333,0))</f>
        <v/>
      </c>
    </row>
    <row r="334" customFormat="false" ht="15" hidden="false" customHeight="true" outlineLevel="0" collapsed="false">
      <c r="A334" s="14" t="n">
        <f aca="false">A333+1</f>
        <v>330</v>
      </c>
      <c r="B334" s="55" t="str">
        <f aca="false">IF(D334="","",EDATE(EMI_StartDate,A334))</f>
        <v/>
      </c>
      <c r="C334" s="15" t="str">
        <f aca="false">IF(D333="","",G333)</f>
        <v/>
      </c>
      <c r="D334" s="15" t="str">
        <f aca="false">IF(A334&gt;EMI_NPer,"",EMI_Payment)</f>
        <v/>
      </c>
      <c r="E334" s="15" t="str">
        <f aca="false">IF(D334="","",D334-F334)</f>
        <v/>
      </c>
      <c r="F334" s="15" t="str">
        <f aca="false">IF(D334="","",C334*EMI_MonthlyRate)</f>
        <v/>
      </c>
      <c r="G334" s="15" t="str">
        <f aca="false">IF(D334="","",MAX(C334-E334,0))</f>
        <v/>
      </c>
    </row>
    <row r="335" customFormat="false" ht="15" hidden="false" customHeight="true" outlineLevel="0" collapsed="false">
      <c r="A335" s="10" t="n">
        <f aca="false">A334+1</f>
        <v>331</v>
      </c>
      <c r="B335" s="54" t="str">
        <f aca="false">IF(D335="","",EDATE(EMI_StartDate,A335))</f>
        <v/>
      </c>
      <c r="C335" s="11" t="str">
        <f aca="false">IF(D334="","",G334)</f>
        <v/>
      </c>
      <c r="D335" s="11" t="str">
        <f aca="false">IF(A335&gt;EMI_NPer,"",EMI_Payment)</f>
        <v/>
      </c>
      <c r="E335" s="11" t="str">
        <f aca="false">IF(D335="","",D335-F335)</f>
        <v/>
      </c>
      <c r="F335" s="11" t="str">
        <f aca="false">IF(D335="","",C335*EMI_MonthlyRate)</f>
        <v/>
      </c>
      <c r="G335" s="11" t="str">
        <f aca="false">IF(D335="","",MAX(C335-E335,0))</f>
        <v/>
      </c>
    </row>
    <row r="336" customFormat="false" ht="15" hidden="false" customHeight="true" outlineLevel="0" collapsed="false">
      <c r="A336" s="14" t="n">
        <f aca="false">A335+1</f>
        <v>332</v>
      </c>
      <c r="B336" s="55" t="str">
        <f aca="false">IF(D336="","",EDATE(EMI_StartDate,A336))</f>
        <v/>
      </c>
      <c r="C336" s="15" t="str">
        <f aca="false">IF(D335="","",G335)</f>
        <v/>
      </c>
      <c r="D336" s="15" t="str">
        <f aca="false">IF(A336&gt;EMI_NPer,"",EMI_Payment)</f>
        <v/>
      </c>
      <c r="E336" s="15" t="str">
        <f aca="false">IF(D336="","",D336-F336)</f>
        <v/>
      </c>
      <c r="F336" s="15" t="str">
        <f aca="false">IF(D336="","",C336*EMI_MonthlyRate)</f>
        <v/>
      </c>
      <c r="G336" s="15" t="str">
        <f aca="false">IF(D336="","",MAX(C336-E336,0))</f>
        <v/>
      </c>
    </row>
    <row r="337" customFormat="false" ht="15" hidden="false" customHeight="true" outlineLevel="0" collapsed="false">
      <c r="A337" s="10" t="n">
        <f aca="false">A336+1</f>
        <v>333</v>
      </c>
      <c r="B337" s="54" t="str">
        <f aca="false">IF(D337="","",EDATE(EMI_StartDate,A337))</f>
        <v/>
      </c>
      <c r="C337" s="11" t="str">
        <f aca="false">IF(D336="","",G336)</f>
        <v/>
      </c>
      <c r="D337" s="11" t="str">
        <f aca="false">IF(A337&gt;EMI_NPer,"",EMI_Payment)</f>
        <v/>
      </c>
      <c r="E337" s="11" t="str">
        <f aca="false">IF(D337="","",D337-F337)</f>
        <v/>
      </c>
      <c r="F337" s="11" t="str">
        <f aca="false">IF(D337="","",C337*EMI_MonthlyRate)</f>
        <v/>
      </c>
      <c r="G337" s="11" t="str">
        <f aca="false">IF(D337="","",MAX(C337-E337,0))</f>
        <v/>
      </c>
    </row>
    <row r="338" customFormat="false" ht="15" hidden="false" customHeight="true" outlineLevel="0" collapsed="false">
      <c r="A338" s="14" t="n">
        <f aca="false">A337+1</f>
        <v>334</v>
      </c>
      <c r="B338" s="55" t="str">
        <f aca="false">IF(D338="","",EDATE(EMI_StartDate,A338))</f>
        <v/>
      </c>
      <c r="C338" s="15" t="str">
        <f aca="false">IF(D337="","",G337)</f>
        <v/>
      </c>
      <c r="D338" s="15" t="str">
        <f aca="false">IF(A338&gt;EMI_NPer,"",EMI_Payment)</f>
        <v/>
      </c>
      <c r="E338" s="15" t="str">
        <f aca="false">IF(D338="","",D338-F338)</f>
        <v/>
      </c>
      <c r="F338" s="15" t="str">
        <f aca="false">IF(D338="","",C338*EMI_MonthlyRate)</f>
        <v/>
      </c>
      <c r="G338" s="15" t="str">
        <f aca="false">IF(D338="","",MAX(C338-E338,0))</f>
        <v/>
      </c>
    </row>
    <row r="339" customFormat="false" ht="15" hidden="false" customHeight="true" outlineLevel="0" collapsed="false">
      <c r="A339" s="10" t="n">
        <f aca="false">A338+1</f>
        <v>335</v>
      </c>
      <c r="B339" s="54" t="str">
        <f aca="false">IF(D339="","",EDATE(EMI_StartDate,A339))</f>
        <v/>
      </c>
      <c r="C339" s="11" t="str">
        <f aca="false">IF(D338="","",G338)</f>
        <v/>
      </c>
      <c r="D339" s="11" t="str">
        <f aca="false">IF(A339&gt;EMI_NPer,"",EMI_Payment)</f>
        <v/>
      </c>
      <c r="E339" s="11" t="str">
        <f aca="false">IF(D339="","",D339-F339)</f>
        <v/>
      </c>
      <c r="F339" s="11" t="str">
        <f aca="false">IF(D339="","",C339*EMI_MonthlyRate)</f>
        <v/>
      </c>
      <c r="G339" s="11" t="str">
        <f aca="false">IF(D339="","",MAX(C339-E339,0))</f>
        <v/>
      </c>
    </row>
    <row r="340" customFormat="false" ht="15" hidden="false" customHeight="true" outlineLevel="0" collapsed="false">
      <c r="A340" s="14" t="n">
        <f aca="false">A339+1</f>
        <v>336</v>
      </c>
      <c r="B340" s="55" t="str">
        <f aca="false">IF(D340="","",EDATE(EMI_StartDate,A340))</f>
        <v/>
      </c>
      <c r="C340" s="15" t="str">
        <f aca="false">IF(D339="","",G339)</f>
        <v/>
      </c>
      <c r="D340" s="15" t="str">
        <f aca="false">IF(A340&gt;EMI_NPer,"",EMI_Payment)</f>
        <v/>
      </c>
      <c r="E340" s="15" t="str">
        <f aca="false">IF(D340="","",D340-F340)</f>
        <v/>
      </c>
      <c r="F340" s="15" t="str">
        <f aca="false">IF(D340="","",C340*EMI_MonthlyRate)</f>
        <v/>
      </c>
      <c r="G340" s="15" t="str">
        <f aca="false">IF(D340="","",MAX(C340-E340,0))</f>
        <v/>
      </c>
    </row>
    <row r="341" customFormat="false" ht="15" hidden="false" customHeight="true" outlineLevel="0" collapsed="false">
      <c r="A341" s="10" t="n">
        <f aca="false">A340+1</f>
        <v>337</v>
      </c>
      <c r="B341" s="54" t="str">
        <f aca="false">IF(D341="","",EDATE(EMI_StartDate,A341))</f>
        <v/>
      </c>
      <c r="C341" s="11" t="str">
        <f aca="false">IF(D340="","",G340)</f>
        <v/>
      </c>
      <c r="D341" s="11" t="str">
        <f aca="false">IF(A341&gt;EMI_NPer,"",EMI_Payment)</f>
        <v/>
      </c>
      <c r="E341" s="11" t="str">
        <f aca="false">IF(D341="","",D341-F341)</f>
        <v/>
      </c>
      <c r="F341" s="11" t="str">
        <f aca="false">IF(D341="","",C341*EMI_MonthlyRate)</f>
        <v/>
      </c>
      <c r="G341" s="11" t="str">
        <f aca="false">IF(D341="","",MAX(C341-E341,0))</f>
        <v/>
      </c>
    </row>
    <row r="342" customFormat="false" ht="15" hidden="false" customHeight="true" outlineLevel="0" collapsed="false">
      <c r="A342" s="14" t="n">
        <f aca="false">A341+1</f>
        <v>338</v>
      </c>
      <c r="B342" s="55" t="str">
        <f aca="false">IF(D342="","",EDATE(EMI_StartDate,A342))</f>
        <v/>
      </c>
      <c r="C342" s="15" t="str">
        <f aca="false">IF(D341="","",G341)</f>
        <v/>
      </c>
      <c r="D342" s="15" t="str">
        <f aca="false">IF(A342&gt;EMI_NPer,"",EMI_Payment)</f>
        <v/>
      </c>
      <c r="E342" s="15" t="str">
        <f aca="false">IF(D342="","",D342-F342)</f>
        <v/>
      </c>
      <c r="F342" s="15" t="str">
        <f aca="false">IF(D342="","",C342*EMI_MonthlyRate)</f>
        <v/>
      </c>
      <c r="G342" s="15" t="str">
        <f aca="false">IF(D342="","",MAX(C342-E342,0))</f>
        <v/>
      </c>
    </row>
    <row r="343" customFormat="false" ht="15" hidden="false" customHeight="true" outlineLevel="0" collapsed="false">
      <c r="A343" s="10" t="n">
        <f aca="false">A342+1</f>
        <v>339</v>
      </c>
      <c r="B343" s="54" t="str">
        <f aca="false">IF(D343="","",EDATE(EMI_StartDate,A343))</f>
        <v/>
      </c>
      <c r="C343" s="11" t="str">
        <f aca="false">IF(D342="","",G342)</f>
        <v/>
      </c>
      <c r="D343" s="11" t="str">
        <f aca="false">IF(A343&gt;EMI_NPer,"",EMI_Payment)</f>
        <v/>
      </c>
      <c r="E343" s="11" t="str">
        <f aca="false">IF(D343="","",D343-F343)</f>
        <v/>
      </c>
      <c r="F343" s="11" t="str">
        <f aca="false">IF(D343="","",C343*EMI_MonthlyRate)</f>
        <v/>
      </c>
      <c r="G343" s="11" t="str">
        <f aca="false">IF(D343="","",MAX(C343-E343,0))</f>
        <v/>
      </c>
    </row>
    <row r="344" customFormat="false" ht="15" hidden="false" customHeight="true" outlineLevel="0" collapsed="false">
      <c r="A344" s="14" t="n">
        <f aca="false">A343+1</f>
        <v>340</v>
      </c>
      <c r="B344" s="55" t="str">
        <f aca="false">IF(D344="","",EDATE(EMI_StartDate,A344))</f>
        <v/>
      </c>
      <c r="C344" s="15" t="str">
        <f aca="false">IF(D343="","",G343)</f>
        <v/>
      </c>
      <c r="D344" s="15" t="str">
        <f aca="false">IF(A344&gt;EMI_NPer,"",EMI_Payment)</f>
        <v/>
      </c>
      <c r="E344" s="15" t="str">
        <f aca="false">IF(D344="","",D344-F344)</f>
        <v/>
      </c>
      <c r="F344" s="15" t="str">
        <f aca="false">IF(D344="","",C344*EMI_MonthlyRate)</f>
        <v/>
      </c>
      <c r="G344" s="15" t="str">
        <f aca="false">IF(D344="","",MAX(C344-E344,0))</f>
        <v/>
      </c>
    </row>
    <row r="345" customFormat="false" ht="15" hidden="false" customHeight="true" outlineLevel="0" collapsed="false">
      <c r="A345" s="10" t="n">
        <f aca="false">A344+1</f>
        <v>341</v>
      </c>
      <c r="B345" s="54" t="str">
        <f aca="false">IF(D345="","",EDATE(EMI_StartDate,A345))</f>
        <v/>
      </c>
      <c r="C345" s="11" t="str">
        <f aca="false">IF(D344="","",G344)</f>
        <v/>
      </c>
      <c r="D345" s="11" t="str">
        <f aca="false">IF(A345&gt;EMI_NPer,"",EMI_Payment)</f>
        <v/>
      </c>
      <c r="E345" s="11" t="str">
        <f aca="false">IF(D345="","",D345-F345)</f>
        <v/>
      </c>
      <c r="F345" s="11" t="str">
        <f aca="false">IF(D345="","",C345*EMI_MonthlyRate)</f>
        <v/>
      </c>
      <c r="G345" s="11" t="str">
        <f aca="false">IF(D345="","",MAX(C345-E345,0))</f>
        <v/>
      </c>
    </row>
    <row r="346" customFormat="false" ht="15" hidden="false" customHeight="true" outlineLevel="0" collapsed="false">
      <c r="A346" s="14" t="n">
        <f aca="false">A345+1</f>
        <v>342</v>
      </c>
      <c r="B346" s="55" t="str">
        <f aca="false">IF(D346="","",EDATE(EMI_StartDate,A346))</f>
        <v/>
      </c>
      <c r="C346" s="15" t="str">
        <f aca="false">IF(D345="","",G345)</f>
        <v/>
      </c>
      <c r="D346" s="15" t="str">
        <f aca="false">IF(A346&gt;EMI_NPer,"",EMI_Payment)</f>
        <v/>
      </c>
      <c r="E346" s="15" t="str">
        <f aca="false">IF(D346="","",D346-F346)</f>
        <v/>
      </c>
      <c r="F346" s="15" t="str">
        <f aca="false">IF(D346="","",C346*EMI_MonthlyRate)</f>
        <v/>
      </c>
      <c r="G346" s="15" t="str">
        <f aca="false">IF(D346="","",MAX(C346-E346,0))</f>
        <v/>
      </c>
    </row>
    <row r="347" customFormat="false" ht="15" hidden="false" customHeight="true" outlineLevel="0" collapsed="false">
      <c r="A347" s="10" t="n">
        <f aca="false">A346+1</f>
        <v>343</v>
      </c>
      <c r="B347" s="54" t="str">
        <f aca="false">IF(D347="","",EDATE(EMI_StartDate,A347))</f>
        <v/>
      </c>
      <c r="C347" s="11" t="str">
        <f aca="false">IF(D346="","",G346)</f>
        <v/>
      </c>
      <c r="D347" s="11" t="str">
        <f aca="false">IF(A347&gt;EMI_NPer,"",EMI_Payment)</f>
        <v/>
      </c>
      <c r="E347" s="11" t="str">
        <f aca="false">IF(D347="","",D347-F347)</f>
        <v/>
      </c>
      <c r="F347" s="11" t="str">
        <f aca="false">IF(D347="","",C347*EMI_MonthlyRate)</f>
        <v/>
      </c>
      <c r="G347" s="11" t="str">
        <f aca="false">IF(D347="","",MAX(C347-E347,0))</f>
        <v/>
      </c>
    </row>
    <row r="348" customFormat="false" ht="15" hidden="false" customHeight="true" outlineLevel="0" collapsed="false">
      <c r="A348" s="14" t="n">
        <f aca="false">A347+1</f>
        <v>344</v>
      </c>
      <c r="B348" s="55" t="str">
        <f aca="false">IF(D348="","",EDATE(EMI_StartDate,A348))</f>
        <v/>
      </c>
      <c r="C348" s="15" t="str">
        <f aca="false">IF(D347="","",G347)</f>
        <v/>
      </c>
      <c r="D348" s="15" t="str">
        <f aca="false">IF(A348&gt;EMI_NPer,"",EMI_Payment)</f>
        <v/>
      </c>
      <c r="E348" s="15" t="str">
        <f aca="false">IF(D348="","",D348-F348)</f>
        <v/>
      </c>
      <c r="F348" s="15" t="str">
        <f aca="false">IF(D348="","",C348*EMI_MonthlyRate)</f>
        <v/>
      </c>
      <c r="G348" s="15" t="str">
        <f aca="false">IF(D348="","",MAX(C348-E348,0))</f>
        <v/>
      </c>
    </row>
    <row r="349" customFormat="false" ht="15" hidden="false" customHeight="true" outlineLevel="0" collapsed="false">
      <c r="A349" s="10" t="n">
        <f aca="false">A348+1</f>
        <v>345</v>
      </c>
      <c r="B349" s="54" t="str">
        <f aca="false">IF(D349="","",EDATE(EMI_StartDate,A349))</f>
        <v/>
      </c>
      <c r="C349" s="11" t="str">
        <f aca="false">IF(D348="","",G348)</f>
        <v/>
      </c>
      <c r="D349" s="11" t="str">
        <f aca="false">IF(A349&gt;EMI_NPer,"",EMI_Payment)</f>
        <v/>
      </c>
      <c r="E349" s="11" t="str">
        <f aca="false">IF(D349="","",D349-F349)</f>
        <v/>
      </c>
      <c r="F349" s="11" t="str">
        <f aca="false">IF(D349="","",C349*EMI_MonthlyRate)</f>
        <v/>
      </c>
      <c r="G349" s="11" t="str">
        <f aca="false">IF(D349="","",MAX(C349-E349,0))</f>
        <v/>
      </c>
    </row>
    <row r="350" customFormat="false" ht="15" hidden="false" customHeight="true" outlineLevel="0" collapsed="false">
      <c r="A350" s="14" t="n">
        <f aca="false">A349+1</f>
        <v>346</v>
      </c>
      <c r="B350" s="55" t="str">
        <f aca="false">IF(D350="","",EDATE(EMI_StartDate,A350))</f>
        <v/>
      </c>
      <c r="C350" s="15" t="str">
        <f aca="false">IF(D349="","",G349)</f>
        <v/>
      </c>
      <c r="D350" s="15" t="str">
        <f aca="false">IF(A350&gt;EMI_NPer,"",EMI_Payment)</f>
        <v/>
      </c>
      <c r="E350" s="15" t="str">
        <f aca="false">IF(D350="","",D350-F350)</f>
        <v/>
      </c>
      <c r="F350" s="15" t="str">
        <f aca="false">IF(D350="","",C350*EMI_MonthlyRate)</f>
        <v/>
      </c>
      <c r="G350" s="15" t="str">
        <f aca="false">IF(D350="","",MAX(C350-E350,0))</f>
        <v/>
      </c>
    </row>
    <row r="351" customFormat="false" ht="15" hidden="false" customHeight="true" outlineLevel="0" collapsed="false">
      <c r="A351" s="10" t="n">
        <f aca="false">A350+1</f>
        <v>347</v>
      </c>
      <c r="B351" s="54" t="str">
        <f aca="false">IF(D351="","",EDATE(EMI_StartDate,A351))</f>
        <v/>
      </c>
      <c r="C351" s="11" t="str">
        <f aca="false">IF(D350="","",G350)</f>
        <v/>
      </c>
      <c r="D351" s="11" t="str">
        <f aca="false">IF(A351&gt;EMI_NPer,"",EMI_Payment)</f>
        <v/>
      </c>
      <c r="E351" s="11" t="str">
        <f aca="false">IF(D351="","",D351-F351)</f>
        <v/>
      </c>
      <c r="F351" s="11" t="str">
        <f aca="false">IF(D351="","",C351*EMI_MonthlyRate)</f>
        <v/>
      </c>
      <c r="G351" s="11" t="str">
        <f aca="false">IF(D351="","",MAX(C351-E351,0))</f>
        <v/>
      </c>
    </row>
    <row r="352" customFormat="false" ht="15" hidden="false" customHeight="true" outlineLevel="0" collapsed="false">
      <c r="A352" s="14" t="n">
        <f aca="false">A351+1</f>
        <v>348</v>
      </c>
      <c r="B352" s="55" t="str">
        <f aca="false">IF(D352="","",EDATE(EMI_StartDate,A352))</f>
        <v/>
      </c>
      <c r="C352" s="15" t="str">
        <f aca="false">IF(D351="","",G351)</f>
        <v/>
      </c>
      <c r="D352" s="15" t="str">
        <f aca="false">IF(A352&gt;EMI_NPer,"",EMI_Payment)</f>
        <v/>
      </c>
      <c r="E352" s="15" t="str">
        <f aca="false">IF(D352="","",D352-F352)</f>
        <v/>
      </c>
      <c r="F352" s="15" t="str">
        <f aca="false">IF(D352="","",C352*EMI_MonthlyRate)</f>
        <v/>
      </c>
      <c r="G352" s="15" t="str">
        <f aca="false">IF(D352="","",MAX(C352-E352,0))</f>
        <v/>
      </c>
    </row>
    <row r="353" customFormat="false" ht="15" hidden="false" customHeight="true" outlineLevel="0" collapsed="false">
      <c r="A353" s="10" t="n">
        <f aca="false">A352+1</f>
        <v>349</v>
      </c>
      <c r="B353" s="54" t="str">
        <f aca="false">IF(D353="","",EDATE(EMI_StartDate,A353))</f>
        <v/>
      </c>
      <c r="C353" s="11" t="str">
        <f aca="false">IF(D352="","",G352)</f>
        <v/>
      </c>
      <c r="D353" s="11" t="str">
        <f aca="false">IF(A353&gt;EMI_NPer,"",EMI_Payment)</f>
        <v/>
      </c>
      <c r="E353" s="11" t="str">
        <f aca="false">IF(D353="","",D353-F353)</f>
        <v/>
      </c>
      <c r="F353" s="11" t="str">
        <f aca="false">IF(D353="","",C353*EMI_MonthlyRate)</f>
        <v/>
      </c>
      <c r="G353" s="11" t="str">
        <f aca="false">IF(D353="","",MAX(C353-E353,0))</f>
        <v/>
      </c>
    </row>
    <row r="354" customFormat="false" ht="15" hidden="false" customHeight="true" outlineLevel="0" collapsed="false">
      <c r="A354" s="14" t="n">
        <f aca="false">A353+1</f>
        <v>350</v>
      </c>
      <c r="B354" s="55" t="str">
        <f aca="false">IF(D354="","",EDATE(EMI_StartDate,A354))</f>
        <v/>
      </c>
      <c r="C354" s="15" t="str">
        <f aca="false">IF(D353="","",G353)</f>
        <v/>
      </c>
      <c r="D354" s="15" t="str">
        <f aca="false">IF(A354&gt;EMI_NPer,"",EMI_Payment)</f>
        <v/>
      </c>
      <c r="E354" s="15" t="str">
        <f aca="false">IF(D354="","",D354-F354)</f>
        <v/>
      </c>
      <c r="F354" s="15" t="str">
        <f aca="false">IF(D354="","",C354*EMI_MonthlyRate)</f>
        <v/>
      </c>
      <c r="G354" s="15" t="str">
        <f aca="false">IF(D354="","",MAX(C354-E354,0))</f>
        <v/>
      </c>
    </row>
    <row r="355" customFormat="false" ht="15" hidden="false" customHeight="true" outlineLevel="0" collapsed="false">
      <c r="A355" s="10" t="n">
        <f aca="false">A354+1</f>
        <v>351</v>
      </c>
      <c r="B355" s="54" t="str">
        <f aca="false">IF(D355="","",EDATE(EMI_StartDate,A355))</f>
        <v/>
      </c>
      <c r="C355" s="11" t="str">
        <f aca="false">IF(D354="","",G354)</f>
        <v/>
      </c>
      <c r="D355" s="11" t="str">
        <f aca="false">IF(A355&gt;EMI_NPer,"",EMI_Payment)</f>
        <v/>
      </c>
      <c r="E355" s="11" t="str">
        <f aca="false">IF(D355="","",D355-F355)</f>
        <v/>
      </c>
      <c r="F355" s="11" t="str">
        <f aca="false">IF(D355="","",C355*EMI_MonthlyRate)</f>
        <v/>
      </c>
      <c r="G355" s="11" t="str">
        <f aca="false">IF(D355="","",MAX(C355-E355,0))</f>
        <v/>
      </c>
    </row>
    <row r="356" customFormat="false" ht="15" hidden="false" customHeight="true" outlineLevel="0" collapsed="false">
      <c r="A356" s="14" t="n">
        <f aca="false">A355+1</f>
        <v>352</v>
      </c>
      <c r="B356" s="55" t="str">
        <f aca="false">IF(D356="","",EDATE(EMI_StartDate,A356))</f>
        <v/>
      </c>
      <c r="C356" s="15" t="str">
        <f aca="false">IF(D355="","",G355)</f>
        <v/>
      </c>
      <c r="D356" s="15" t="str">
        <f aca="false">IF(A356&gt;EMI_NPer,"",EMI_Payment)</f>
        <v/>
      </c>
      <c r="E356" s="15" t="str">
        <f aca="false">IF(D356="","",D356-F356)</f>
        <v/>
      </c>
      <c r="F356" s="15" t="str">
        <f aca="false">IF(D356="","",C356*EMI_MonthlyRate)</f>
        <v/>
      </c>
      <c r="G356" s="15" t="str">
        <f aca="false">IF(D356="","",MAX(C356-E356,0))</f>
        <v/>
      </c>
    </row>
    <row r="357" customFormat="false" ht="15" hidden="false" customHeight="true" outlineLevel="0" collapsed="false">
      <c r="A357" s="10" t="n">
        <f aca="false">A356+1</f>
        <v>353</v>
      </c>
      <c r="B357" s="54" t="str">
        <f aca="false">IF(D357="","",EDATE(EMI_StartDate,A357))</f>
        <v/>
      </c>
      <c r="C357" s="11" t="str">
        <f aca="false">IF(D356="","",G356)</f>
        <v/>
      </c>
      <c r="D357" s="11" t="str">
        <f aca="false">IF(A357&gt;EMI_NPer,"",EMI_Payment)</f>
        <v/>
      </c>
      <c r="E357" s="11" t="str">
        <f aca="false">IF(D357="","",D357-F357)</f>
        <v/>
      </c>
      <c r="F357" s="11" t="str">
        <f aca="false">IF(D357="","",C357*EMI_MonthlyRate)</f>
        <v/>
      </c>
      <c r="G357" s="11" t="str">
        <f aca="false">IF(D357="","",MAX(C357-E357,0))</f>
        <v/>
      </c>
    </row>
    <row r="358" customFormat="false" ht="15" hidden="false" customHeight="true" outlineLevel="0" collapsed="false">
      <c r="A358" s="14" t="n">
        <f aca="false">A357+1</f>
        <v>354</v>
      </c>
      <c r="B358" s="55" t="str">
        <f aca="false">IF(D358="","",EDATE(EMI_StartDate,A358))</f>
        <v/>
      </c>
      <c r="C358" s="15" t="str">
        <f aca="false">IF(D357="","",G357)</f>
        <v/>
      </c>
      <c r="D358" s="15" t="str">
        <f aca="false">IF(A358&gt;EMI_NPer,"",EMI_Payment)</f>
        <v/>
      </c>
      <c r="E358" s="15" t="str">
        <f aca="false">IF(D358="","",D358-F358)</f>
        <v/>
      </c>
      <c r="F358" s="15" t="str">
        <f aca="false">IF(D358="","",C358*EMI_MonthlyRate)</f>
        <v/>
      </c>
      <c r="G358" s="15" t="str">
        <f aca="false">IF(D358="","",MAX(C358-E358,0))</f>
        <v/>
      </c>
    </row>
    <row r="359" customFormat="false" ht="15" hidden="false" customHeight="true" outlineLevel="0" collapsed="false">
      <c r="A359" s="10" t="n">
        <f aca="false">A358+1</f>
        <v>355</v>
      </c>
      <c r="B359" s="54" t="str">
        <f aca="false">IF(D359="","",EDATE(EMI_StartDate,A359))</f>
        <v/>
      </c>
      <c r="C359" s="11" t="str">
        <f aca="false">IF(D358="","",G358)</f>
        <v/>
      </c>
      <c r="D359" s="11" t="str">
        <f aca="false">IF(A359&gt;EMI_NPer,"",EMI_Payment)</f>
        <v/>
      </c>
      <c r="E359" s="11" t="str">
        <f aca="false">IF(D359="","",D359-F359)</f>
        <v/>
      </c>
      <c r="F359" s="11" t="str">
        <f aca="false">IF(D359="","",C359*EMI_MonthlyRate)</f>
        <v/>
      </c>
      <c r="G359" s="11" t="str">
        <f aca="false">IF(D359="","",MAX(C359-E359,0))</f>
        <v/>
      </c>
    </row>
    <row r="360" customFormat="false" ht="15" hidden="false" customHeight="true" outlineLevel="0" collapsed="false">
      <c r="A360" s="14" t="n">
        <f aca="false">A359+1</f>
        <v>356</v>
      </c>
      <c r="B360" s="55" t="str">
        <f aca="false">IF(D360="","",EDATE(EMI_StartDate,A360))</f>
        <v/>
      </c>
      <c r="C360" s="15" t="str">
        <f aca="false">IF(D359="","",G359)</f>
        <v/>
      </c>
      <c r="D360" s="15" t="str">
        <f aca="false">IF(A360&gt;EMI_NPer,"",EMI_Payment)</f>
        <v/>
      </c>
      <c r="E360" s="15" t="str">
        <f aca="false">IF(D360="","",D360-F360)</f>
        <v/>
      </c>
      <c r="F360" s="15" t="str">
        <f aca="false">IF(D360="","",C360*EMI_MonthlyRate)</f>
        <v/>
      </c>
      <c r="G360" s="15" t="str">
        <f aca="false">IF(D360="","",MAX(C360-E360,0))</f>
        <v/>
      </c>
    </row>
    <row r="361" customFormat="false" ht="15" hidden="false" customHeight="true" outlineLevel="0" collapsed="false">
      <c r="A361" s="10" t="n">
        <f aca="false">A360+1</f>
        <v>357</v>
      </c>
      <c r="B361" s="54" t="str">
        <f aca="false">IF(D361="","",EDATE(EMI_StartDate,A361))</f>
        <v/>
      </c>
      <c r="C361" s="11" t="str">
        <f aca="false">IF(D360="","",G360)</f>
        <v/>
      </c>
      <c r="D361" s="11" t="str">
        <f aca="false">IF(A361&gt;EMI_NPer,"",EMI_Payment)</f>
        <v/>
      </c>
      <c r="E361" s="11" t="str">
        <f aca="false">IF(D361="","",D361-F361)</f>
        <v/>
      </c>
      <c r="F361" s="11" t="str">
        <f aca="false">IF(D361="","",C361*EMI_MonthlyRate)</f>
        <v/>
      </c>
      <c r="G361" s="11" t="str">
        <f aca="false">IF(D361="","",MAX(C361-E361,0))</f>
        <v/>
      </c>
    </row>
    <row r="362" customFormat="false" ht="15" hidden="false" customHeight="true" outlineLevel="0" collapsed="false">
      <c r="A362" s="14" t="n">
        <f aca="false">A361+1</f>
        <v>358</v>
      </c>
      <c r="B362" s="55" t="str">
        <f aca="false">IF(D362="","",EDATE(EMI_StartDate,A362))</f>
        <v/>
      </c>
      <c r="C362" s="15" t="str">
        <f aca="false">IF(D361="","",G361)</f>
        <v/>
      </c>
      <c r="D362" s="15" t="str">
        <f aca="false">IF(A362&gt;EMI_NPer,"",EMI_Payment)</f>
        <v/>
      </c>
      <c r="E362" s="15" t="str">
        <f aca="false">IF(D362="","",D362-F362)</f>
        <v/>
      </c>
      <c r="F362" s="15" t="str">
        <f aca="false">IF(D362="","",C362*EMI_MonthlyRate)</f>
        <v/>
      </c>
      <c r="G362" s="15" t="str">
        <f aca="false">IF(D362="","",MAX(C362-E362,0))</f>
        <v/>
      </c>
    </row>
    <row r="363" customFormat="false" ht="15" hidden="false" customHeight="true" outlineLevel="0" collapsed="false">
      <c r="A363" s="10" t="n">
        <f aca="false">A362+1</f>
        <v>359</v>
      </c>
      <c r="B363" s="54" t="str">
        <f aca="false">IF(D363="","",EDATE(EMI_StartDate,A363))</f>
        <v/>
      </c>
      <c r="C363" s="11" t="str">
        <f aca="false">IF(D362="","",G362)</f>
        <v/>
      </c>
      <c r="D363" s="11" t="str">
        <f aca="false">IF(A363&gt;EMI_NPer,"",EMI_Payment)</f>
        <v/>
      </c>
      <c r="E363" s="11" t="str">
        <f aca="false">IF(D363="","",D363-F363)</f>
        <v/>
      </c>
      <c r="F363" s="11" t="str">
        <f aca="false">IF(D363="","",C363*EMI_MonthlyRate)</f>
        <v/>
      </c>
      <c r="G363" s="11" t="str">
        <f aca="false">IF(D363="","",MAX(C363-E363,0))</f>
        <v/>
      </c>
    </row>
    <row r="364" customFormat="false" ht="15" hidden="false" customHeight="true" outlineLevel="0" collapsed="false">
      <c r="A364" s="14" t="n">
        <f aca="false">A363+1</f>
        <v>360</v>
      </c>
      <c r="B364" s="55" t="str">
        <f aca="false">IF(D364="","",EDATE(EMI_StartDate,A364))</f>
        <v/>
      </c>
      <c r="C364" s="15" t="str">
        <f aca="false">IF(D363="","",G363)</f>
        <v/>
      </c>
      <c r="D364" s="15" t="str">
        <f aca="false">IF(A364&gt;EMI_NPer,"",EMI_Payment)</f>
        <v/>
      </c>
      <c r="E364" s="15" t="str">
        <f aca="false">IF(D364="","",D364-F364)</f>
        <v/>
      </c>
      <c r="F364" s="15" t="str">
        <f aca="false">IF(D364="","",C364*EMI_MonthlyRate)</f>
        <v/>
      </c>
      <c r="G364" s="15" t="str">
        <f aca="false">IF(D364="","",MAX(C364-E364,0))</f>
        <v/>
      </c>
    </row>
    <row r="365" customFormat="false" ht="15" hidden="false" customHeight="true" outlineLevel="0" collapsed="false">
      <c r="C365" s="56" t="s">
        <v>267</v>
      </c>
      <c r="D365" s="57" t="n">
        <f aca="false">SUM(D5:D364)</f>
        <v>2237114.85080045</v>
      </c>
      <c r="E365" s="57" t="n">
        <f aca="false">SUM(E5:E364)</f>
        <v>1000000.00000003</v>
      </c>
      <c r="F365" s="57" t="n">
        <f aca="false">SUM(F5:F364)</f>
        <v>1237114.85080043</v>
      </c>
    </row>
  </sheetData>
  <autoFilter ref="A4:G4"/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2026-07-07T13:00:44Z</dcterms:created>
  <dc:creator>openpyxl</dc:creator>
  <dc:description/>
  <dc:language>en-US</dc:language>
  <cp:lastModifiedBy/>
  <dcterms:modified xsi:type="dcterms:W3CDTF">2026-07-12T03:17:56Z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